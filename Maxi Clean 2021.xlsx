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benjaminperedo/Python_for_Amazon/chemdry_dashboard/"/>
    </mc:Choice>
  </mc:AlternateContent>
  <xr:revisionPtr revIDLastSave="0" documentId="8_{4E4E5874-84A8-8243-A5D0-710ECC4CAC30}" xr6:coauthVersionLast="47" xr6:coauthVersionMax="47" xr10:uidLastSave="{00000000-0000-0000-0000-000000000000}"/>
  <bookViews>
    <workbookView xWindow="0" yWindow="500" windowWidth="19200" windowHeight="11500" tabRatio="573" xr2:uid="{00000000-000D-0000-FFFF-FFFF00000000}"/>
  </bookViews>
  <sheets>
    <sheet name="Hoja1" sheetId="1" r:id="rId1"/>
    <sheet name="Estadisticas Ene" sheetId="2" r:id="rId2"/>
    <sheet name="Estadisticas Feb" sheetId="3" r:id="rId3"/>
    <sheet name="Estadisticas Mar" sheetId="4" r:id="rId4"/>
    <sheet name="Estadisticas Abr" sheetId="5" r:id="rId5"/>
    <sheet name="Estadisticas May" sheetId="6" r:id="rId6"/>
    <sheet name="Estadisticas Jun" sheetId="7" r:id="rId7"/>
    <sheet name="Estadísticas Jul" sheetId="8" r:id="rId8"/>
    <sheet name="Estadísticas Ago" sheetId="9" r:id="rId9"/>
    <sheet name="Estadísticas Sep" sheetId="10" r:id="rId10"/>
    <sheet name="Estadísticas Oct" sheetId="11" r:id="rId11"/>
    <sheet name="Estadísticas Nov" sheetId="12" r:id="rId12"/>
    <sheet name="Estadísticas Dic" sheetId="13" r:id="rId13"/>
    <sheet name="Estadísticas finales 2021" sheetId="14" r:id="rId14"/>
    <sheet name="Estad especif 2021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6" i="15" l="1"/>
  <c r="O85" i="15"/>
  <c r="O81" i="15"/>
  <c r="O77" i="15"/>
  <c r="O76" i="15"/>
  <c r="O75" i="15"/>
  <c r="O74" i="15"/>
  <c r="O73" i="15"/>
  <c r="O72" i="15"/>
  <c r="O71" i="15"/>
  <c r="O70" i="15"/>
  <c r="O69" i="15"/>
  <c r="O68" i="15"/>
  <c r="O64" i="15"/>
  <c r="O63" i="15"/>
  <c r="O62" i="15"/>
  <c r="O61" i="15"/>
  <c r="O60" i="15"/>
  <c r="O56" i="15"/>
  <c r="O55" i="15"/>
  <c r="O51" i="15"/>
  <c r="O50" i="15"/>
  <c r="O49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0" i="15"/>
  <c r="O29" i="15"/>
  <c r="O28" i="15"/>
  <c r="O24" i="15"/>
  <c r="O23" i="15"/>
  <c r="O22" i="15"/>
  <c r="O21" i="15"/>
  <c r="O20" i="15"/>
  <c r="O19" i="15"/>
  <c r="O18" i="15"/>
  <c r="O17" i="15"/>
  <c r="O16" i="15"/>
  <c r="O15" i="15"/>
  <c r="O11" i="15"/>
  <c r="O10" i="15"/>
  <c r="O9" i="15"/>
  <c r="O8" i="15"/>
  <c r="O7" i="15"/>
  <c r="O6" i="15"/>
  <c r="O5" i="15"/>
  <c r="O4" i="15"/>
  <c r="O3" i="15"/>
  <c r="N17" i="14"/>
  <c r="L17" i="14"/>
  <c r="J17" i="14"/>
  <c r="I17" i="14"/>
  <c r="H17" i="14"/>
  <c r="G17" i="14"/>
  <c r="E17" i="14"/>
  <c r="C17" i="14"/>
  <c r="B17" i="14"/>
  <c r="D17" i="14" s="1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5" i="14"/>
  <c r="D5" i="14"/>
  <c r="F4" i="14"/>
  <c r="D4" i="14"/>
  <c r="F3" i="14"/>
  <c r="D3" i="14"/>
  <c r="F2" i="14"/>
  <c r="F17" i="14" s="1"/>
  <c r="D2" i="14"/>
  <c r="J114" i="13"/>
  <c r="J113" i="13"/>
  <c r="J112" i="13"/>
  <c r="J111" i="13"/>
  <c r="J110" i="13"/>
  <c r="J109" i="13"/>
  <c r="J108" i="13"/>
  <c r="J107" i="13"/>
  <c r="F107" i="13"/>
  <c r="J106" i="13"/>
  <c r="F106" i="13"/>
  <c r="J105" i="13"/>
  <c r="F105" i="13"/>
  <c r="F104" i="13"/>
  <c r="F103" i="13"/>
  <c r="F102" i="13"/>
  <c r="J101" i="13"/>
  <c r="J100" i="13"/>
  <c r="J99" i="13"/>
  <c r="F99" i="13"/>
  <c r="J98" i="13"/>
  <c r="F98" i="13"/>
  <c r="J97" i="13"/>
  <c r="F97" i="13"/>
  <c r="F96" i="13"/>
  <c r="F95" i="13"/>
  <c r="F94" i="13"/>
  <c r="J93" i="13"/>
  <c r="J92" i="13"/>
  <c r="J91" i="13"/>
  <c r="F91" i="13"/>
  <c r="J90" i="13"/>
  <c r="F90" i="13"/>
  <c r="J89" i="13"/>
  <c r="J88" i="13"/>
  <c r="F87" i="13"/>
  <c r="F86" i="13"/>
  <c r="J85" i="13"/>
  <c r="J84" i="13"/>
  <c r="J83" i="13"/>
  <c r="F83" i="13"/>
  <c r="J82" i="13"/>
  <c r="F82" i="13"/>
  <c r="J81" i="13"/>
  <c r="F81" i="13"/>
  <c r="J80" i="13"/>
  <c r="C80" i="13"/>
  <c r="F77" i="13" s="1"/>
  <c r="F78" i="13"/>
  <c r="J76" i="13"/>
  <c r="F76" i="13"/>
  <c r="J75" i="13"/>
  <c r="F75" i="13"/>
  <c r="F74" i="13"/>
  <c r="F73" i="13"/>
  <c r="F72" i="13"/>
  <c r="J71" i="13"/>
  <c r="J70" i="13"/>
  <c r="J69" i="13"/>
  <c r="F69" i="13"/>
  <c r="J68" i="13"/>
  <c r="J67" i="13"/>
  <c r="C67" i="13"/>
  <c r="F65" i="13" s="1"/>
  <c r="J66" i="13"/>
  <c r="J65" i="13"/>
  <c r="J64" i="13"/>
  <c r="J63" i="13"/>
  <c r="F63" i="13"/>
  <c r="J62" i="13"/>
  <c r="J61" i="13"/>
  <c r="J60" i="13"/>
  <c r="J58" i="13"/>
  <c r="J57" i="13"/>
  <c r="J56" i="13"/>
  <c r="F55" i="13"/>
  <c r="F54" i="13"/>
  <c r="J52" i="13"/>
  <c r="J51" i="13"/>
  <c r="F51" i="13"/>
  <c r="J50" i="13"/>
  <c r="C49" i="13"/>
  <c r="J106" i="12"/>
  <c r="J105" i="12"/>
  <c r="J104" i="12"/>
  <c r="F104" i="12"/>
  <c r="J103" i="12"/>
  <c r="F103" i="12"/>
  <c r="J102" i="12"/>
  <c r="F102" i="12"/>
  <c r="J101" i="12"/>
  <c r="F101" i="12"/>
  <c r="J100" i="12"/>
  <c r="F100" i="12"/>
  <c r="J99" i="12"/>
  <c r="F99" i="12"/>
  <c r="J98" i="12"/>
  <c r="F96" i="12"/>
  <c r="F95" i="12"/>
  <c r="J94" i="12"/>
  <c r="F94" i="12"/>
  <c r="J93" i="12"/>
  <c r="F93" i="12"/>
  <c r="J92" i="12"/>
  <c r="F92" i="12"/>
  <c r="J91" i="12"/>
  <c r="F91" i="12"/>
  <c r="J90" i="12"/>
  <c r="F88" i="12"/>
  <c r="F87" i="12"/>
  <c r="J86" i="12"/>
  <c r="J85" i="12"/>
  <c r="J84" i="12"/>
  <c r="F84" i="12"/>
  <c r="J83" i="12"/>
  <c r="F83" i="12"/>
  <c r="J82" i="12"/>
  <c r="J81" i="12"/>
  <c r="F80" i="12"/>
  <c r="F79" i="12"/>
  <c r="J78" i="12"/>
  <c r="F78" i="12"/>
  <c r="J77" i="12"/>
  <c r="C77" i="12"/>
  <c r="F70" i="12" s="1"/>
  <c r="J76" i="12"/>
  <c r="J75" i="12"/>
  <c r="J74" i="12"/>
  <c r="J73" i="12"/>
  <c r="F72" i="12"/>
  <c r="F71" i="12"/>
  <c r="J69" i="12"/>
  <c r="F69" i="12"/>
  <c r="J68" i="12"/>
  <c r="F68" i="12"/>
  <c r="F66" i="12"/>
  <c r="J64" i="12"/>
  <c r="C64" i="12"/>
  <c r="J63" i="12"/>
  <c r="F63" i="12"/>
  <c r="J62" i="12"/>
  <c r="F62" i="12"/>
  <c r="J61" i="12"/>
  <c r="F61" i="12"/>
  <c r="J60" i="12"/>
  <c r="F60" i="12"/>
  <c r="J59" i="12"/>
  <c r="F59" i="12"/>
  <c r="J58" i="12"/>
  <c r="F58" i="12"/>
  <c r="J57" i="12"/>
  <c r="F57" i="12"/>
  <c r="F56" i="12"/>
  <c r="J55" i="12"/>
  <c r="F55" i="12"/>
  <c r="J54" i="12"/>
  <c r="J53" i="12"/>
  <c r="F52" i="12"/>
  <c r="F51" i="12"/>
  <c r="J49" i="12"/>
  <c r="J48" i="12"/>
  <c r="J47" i="12"/>
  <c r="C46" i="12"/>
  <c r="F48" i="12" s="1"/>
  <c r="J110" i="11"/>
  <c r="J109" i="11"/>
  <c r="F109" i="11"/>
  <c r="J108" i="11"/>
  <c r="F108" i="11"/>
  <c r="J107" i="11"/>
  <c r="F107" i="11"/>
  <c r="J106" i="11"/>
  <c r="F106" i="11"/>
  <c r="J105" i="11"/>
  <c r="F105" i="11"/>
  <c r="J104" i="11"/>
  <c r="F104" i="11"/>
  <c r="J103" i="11"/>
  <c r="F101" i="11"/>
  <c r="F100" i="11"/>
  <c r="J99" i="11"/>
  <c r="F99" i="11"/>
  <c r="J98" i="11"/>
  <c r="F98" i="11"/>
  <c r="J97" i="11"/>
  <c r="F97" i="11"/>
  <c r="J96" i="11"/>
  <c r="F96" i="11"/>
  <c r="J95" i="11"/>
  <c r="F93" i="11"/>
  <c r="F92" i="11"/>
  <c r="J91" i="11"/>
  <c r="J90" i="11"/>
  <c r="J89" i="11"/>
  <c r="F89" i="11"/>
  <c r="J88" i="11"/>
  <c r="F88" i="11"/>
  <c r="J87" i="11"/>
  <c r="J86" i="11"/>
  <c r="F85" i="11"/>
  <c r="F84" i="11"/>
  <c r="J83" i="11"/>
  <c r="F83" i="11"/>
  <c r="J82" i="11"/>
  <c r="C82" i="11"/>
  <c r="J81" i="11"/>
  <c r="J80" i="11"/>
  <c r="F80" i="11"/>
  <c r="J79" i="11"/>
  <c r="F79" i="11"/>
  <c r="J78" i="11"/>
  <c r="F78" i="11"/>
  <c r="F77" i="11"/>
  <c r="F76" i="11"/>
  <c r="F75" i="11"/>
  <c r="J74" i="11"/>
  <c r="F74" i="11"/>
  <c r="J73" i="11"/>
  <c r="F73" i="11"/>
  <c r="F72" i="11"/>
  <c r="F71" i="11"/>
  <c r="J69" i="11"/>
  <c r="C69" i="11"/>
  <c r="F66" i="11" s="1"/>
  <c r="J68" i="11"/>
  <c r="F68" i="11"/>
  <c r="J67" i="11"/>
  <c r="F67" i="11"/>
  <c r="J66" i="11"/>
  <c r="J65" i="11"/>
  <c r="F65" i="11"/>
  <c r="J64" i="11"/>
  <c r="F64" i="11"/>
  <c r="J63" i="11"/>
  <c r="F63" i="11"/>
  <c r="J62" i="11"/>
  <c r="F61" i="11"/>
  <c r="J60" i="11"/>
  <c r="F60" i="11"/>
  <c r="J59" i="11"/>
  <c r="J58" i="11"/>
  <c r="F57" i="11"/>
  <c r="F56" i="11"/>
  <c r="J54" i="11"/>
  <c r="J53" i="11"/>
  <c r="J52" i="11"/>
  <c r="C51" i="11"/>
  <c r="F53" i="11" s="1"/>
  <c r="F103" i="10"/>
  <c r="J102" i="10"/>
  <c r="F102" i="10"/>
  <c r="J101" i="10"/>
  <c r="F101" i="10"/>
  <c r="J100" i="10"/>
  <c r="F100" i="10"/>
  <c r="J99" i="10"/>
  <c r="F99" i="10"/>
  <c r="J98" i="10"/>
  <c r="F98" i="10"/>
  <c r="J97" i="10"/>
  <c r="J96" i="10"/>
  <c r="F95" i="10"/>
  <c r="F94" i="10"/>
  <c r="F93" i="10"/>
  <c r="J92" i="10"/>
  <c r="F92" i="10"/>
  <c r="J91" i="10"/>
  <c r="F91" i="10"/>
  <c r="J90" i="10"/>
  <c r="F90" i="10"/>
  <c r="J89" i="10"/>
  <c r="F87" i="10"/>
  <c r="F86" i="10"/>
  <c r="J85" i="10"/>
  <c r="J84" i="10"/>
  <c r="J83" i="10"/>
  <c r="F83" i="10"/>
  <c r="J82" i="10"/>
  <c r="F82" i="10"/>
  <c r="J81" i="10"/>
  <c r="J80" i="10"/>
  <c r="F79" i="10"/>
  <c r="F78" i="10"/>
  <c r="J77" i="10"/>
  <c r="F77" i="10"/>
  <c r="J76" i="10"/>
  <c r="C76" i="10"/>
  <c r="F69" i="10" s="1"/>
  <c r="J75" i="10"/>
  <c r="J74" i="10"/>
  <c r="F74" i="10"/>
  <c r="J73" i="10"/>
  <c r="J72" i="10"/>
  <c r="F71" i="10"/>
  <c r="F70" i="10"/>
  <c r="J68" i="10"/>
  <c r="F68" i="10"/>
  <c r="J67" i="10"/>
  <c r="F65" i="10"/>
  <c r="J63" i="10"/>
  <c r="C63" i="10"/>
  <c r="F61" i="10" s="1"/>
  <c r="J62" i="10"/>
  <c r="F62" i="10"/>
  <c r="J61" i="10"/>
  <c r="J60" i="10"/>
  <c r="F60" i="10"/>
  <c r="J59" i="10"/>
  <c r="F59" i="10"/>
  <c r="J58" i="10"/>
  <c r="F58" i="10"/>
  <c r="J57" i="10"/>
  <c r="J56" i="10"/>
  <c r="F56" i="10"/>
  <c r="F55" i="10"/>
  <c r="J54" i="10"/>
  <c r="F54" i="10"/>
  <c r="J53" i="10"/>
  <c r="J52" i="10"/>
  <c r="F51" i="10"/>
  <c r="F50" i="10"/>
  <c r="J48" i="10"/>
  <c r="J47" i="10"/>
  <c r="J46" i="10"/>
  <c r="C45" i="10"/>
  <c r="F47" i="10" s="1"/>
  <c r="F113" i="9"/>
  <c r="F112" i="9"/>
  <c r="J111" i="9"/>
  <c r="F111" i="9"/>
  <c r="J110" i="9"/>
  <c r="F110" i="9"/>
  <c r="J109" i="9"/>
  <c r="F109" i="9"/>
  <c r="J108" i="9"/>
  <c r="F108" i="9"/>
  <c r="J107" i="9"/>
  <c r="J106" i="9"/>
  <c r="J105" i="9"/>
  <c r="F105" i="9"/>
  <c r="F104" i="9"/>
  <c r="F103" i="9"/>
  <c r="F102" i="9"/>
  <c r="J101" i="9"/>
  <c r="F101" i="9"/>
  <c r="J100" i="9"/>
  <c r="F100" i="9"/>
  <c r="J99" i="9"/>
  <c r="J98" i="9"/>
  <c r="F97" i="9"/>
  <c r="F96" i="9"/>
  <c r="J94" i="9"/>
  <c r="J93" i="9"/>
  <c r="F93" i="9"/>
  <c r="J92" i="9"/>
  <c r="F92" i="9"/>
  <c r="J91" i="9"/>
  <c r="J90" i="9"/>
  <c r="J89" i="9"/>
  <c r="F89" i="9"/>
  <c r="F88" i="9"/>
  <c r="F87" i="9"/>
  <c r="J86" i="9"/>
  <c r="C86" i="9"/>
  <c r="F82" i="9" s="1"/>
  <c r="J85" i="9"/>
  <c r="J84" i="9"/>
  <c r="J83" i="9"/>
  <c r="J82" i="9"/>
  <c r="J81" i="9"/>
  <c r="F81" i="9"/>
  <c r="F80" i="9"/>
  <c r="F79" i="9"/>
  <c r="J77" i="9"/>
  <c r="J76" i="9"/>
  <c r="F76" i="9"/>
  <c r="F75" i="9"/>
  <c r="F74" i="9"/>
  <c r="J72" i="9"/>
  <c r="C72" i="9"/>
  <c r="F71" i="9" s="1"/>
  <c r="J71" i="9"/>
  <c r="J70" i="9"/>
  <c r="F70" i="9"/>
  <c r="J69" i="9"/>
  <c r="F69" i="9"/>
  <c r="J68" i="9"/>
  <c r="F68" i="9"/>
  <c r="J67" i="9"/>
  <c r="J66" i="9"/>
  <c r="F66" i="9"/>
  <c r="J65" i="9"/>
  <c r="F65" i="9"/>
  <c r="F64" i="9"/>
  <c r="J63" i="9"/>
  <c r="F63" i="9"/>
  <c r="J62" i="9"/>
  <c r="J61" i="9"/>
  <c r="F60" i="9"/>
  <c r="F59" i="9"/>
  <c r="J57" i="9"/>
  <c r="J56" i="9"/>
  <c r="F56" i="9"/>
  <c r="J55" i="9"/>
  <c r="C54" i="9"/>
  <c r="F112" i="8"/>
  <c r="F111" i="8"/>
  <c r="J110" i="8"/>
  <c r="F110" i="8"/>
  <c r="J109" i="8"/>
  <c r="F109" i="8"/>
  <c r="J108" i="8"/>
  <c r="F108" i="8"/>
  <c r="J107" i="8"/>
  <c r="F107" i="8"/>
  <c r="J106" i="8"/>
  <c r="J105" i="8"/>
  <c r="J104" i="8"/>
  <c r="F104" i="8"/>
  <c r="F103" i="8"/>
  <c r="F102" i="8"/>
  <c r="F101" i="8"/>
  <c r="J100" i="8"/>
  <c r="F100" i="8"/>
  <c r="J99" i="8"/>
  <c r="F99" i="8"/>
  <c r="J98" i="8"/>
  <c r="J97" i="8"/>
  <c r="F96" i="8"/>
  <c r="F95" i="8"/>
  <c r="J93" i="8"/>
  <c r="J92" i="8"/>
  <c r="F92" i="8"/>
  <c r="J91" i="8"/>
  <c r="F91" i="8"/>
  <c r="J90" i="8"/>
  <c r="J89" i="8"/>
  <c r="J88" i="8"/>
  <c r="F88" i="8"/>
  <c r="F87" i="8"/>
  <c r="F86" i="8"/>
  <c r="J85" i="8"/>
  <c r="C85" i="8"/>
  <c r="F79" i="8" s="1"/>
  <c r="J84" i="8"/>
  <c r="J83" i="8"/>
  <c r="F83" i="8"/>
  <c r="J82" i="8"/>
  <c r="F82" i="8"/>
  <c r="J81" i="8"/>
  <c r="F81" i="8"/>
  <c r="J80" i="8"/>
  <c r="F80" i="8"/>
  <c r="F78" i="8"/>
  <c r="F77" i="8"/>
  <c r="J76" i="8"/>
  <c r="F76" i="8"/>
  <c r="J75" i="8"/>
  <c r="F75" i="8"/>
  <c r="F74" i="8"/>
  <c r="C72" i="8"/>
  <c r="J71" i="8"/>
  <c r="F71" i="8"/>
  <c r="J70" i="8"/>
  <c r="F70" i="8"/>
  <c r="J69" i="8"/>
  <c r="F69" i="8"/>
  <c r="J68" i="8"/>
  <c r="F68" i="8"/>
  <c r="J67" i="8"/>
  <c r="F67" i="8"/>
  <c r="J66" i="8"/>
  <c r="F66" i="8"/>
  <c r="J65" i="8"/>
  <c r="F65" i="8"/>
  <c r="F64" i="8"/>
  <c r="J63" i="8"/>
  <c r="F63" i="8"/>
  <c r="J62" i="8"/>
  <c r="J61" i="8"/>
  <c r="F60" i="8"/>
  <c r="F59" i="8"/>
  <c r="J57" i="8"/>
  <c r="J56" i="8"/>
  <c r="J55" i="8"/>
  <c r="C54" i="8"/>
  <c r="F56" i="8" s="1"/>
  <c r="F109" i="7"/>
  <c r="J108" i="7"/>
  <c r="F108" i="7"/>
  <c r="J107" i="7"/>
  <c r="F107" i="7"/>
  <c r="J106" i="7"/>
  <c r="F106" i="7"/>
  <c r="J105" i="7"/>
  <c r="F105" i="7"/>
  <c r="J104" i="7"/>
  <c r="F104" i="7"/>
  <c r="J103" i="7"/>
  <c r="J102" i="7"/>
  <c r="F101" i="7"/>
  <c r="F100" i="7"/>
  <c r="F99" i="7"/>
  <c r="J98" i="7"/>
  <c r="F98" i="7"/>
  <c r="J97" i="7"/>
  <c r="F97" i="7"/>
  <c r="J96" i="7"/>
  <c r="F96" i="7"/>
  <c r="J95" i="7"/>
  <c r="F93" i="7"/>
  <c r="F92" i="7"/>
  <c r="J91" i="7"/>
  <c r="J90" i="7"/>
  <c r="J89" i="7"/>
  <c r="F89" i="7"/>
  <c r="J88" i="7"/>
  <c r="F88" i="7"/>
  <c r="J87" i="7"/>
  <c r="J86" i="7"/>
  <c r="F85" i="7"/>
  <c r="F84" i="7"/>
  <c r="J83" i="7"/>
  <c r="F83" i="7"/>
  <c r="J82" i="7"/>
  <c r="C82" i="7"/>
  <c r="F73" i="7" s="1"/>
  <c r="J81" i="7"/>
  <c r="J80" i="7"/>
  <c r="F80" i="7"/>
  <c r="J79" i="7"/>
  <c r="F79" i="7"/>
  <c r="J78" i="7"/>
  <c r="F77" i="7"/>
  <c r="F76" i="7"/>
  <c r="F75" i="7"/>
  <c r="J74" i="7"/>
  <c r="F74" i="7"/>
  <c r="J73" i="7"/>
  <c r="F71" i="7"/>
  <c r="J69" i="7"/>
  <c r="C69" i="7"/>
  <c r="F66" i="7" s="1"/>
  <c r="J68" i="7"/>
  <c r="F68" i="7"/>
  <c r="J67" i="7"/>
  <c r="J66" i="7"/>
  <c r="J65" i="7"/>
  <c r="F65" i="7"/>
  <c r="J64" i="7"/>
  <c r="F64" i="7"/>
  <c r="J63" i="7"/>
  <c r="J62" i="7"/>
  <c r="F62" i="7"/>
  <c r="F61" i="7"/>
  <c r="J60" i="7"/>
  <c r="F60" i="7"/>
  <c r="J59" i="7"/>
  <c r="J58" i="7"/>
  <c r="F57" i="7"/>
  <c r="F56" i="7"/>
  <c r="J54" i="7"/>
  <c r="J53" i="7"/>
  <c r="J52" i="7"/>
  <c r="C51" i="7"/>
  <c r="F53" i="7" s="1"/>
  <c r="F104" i="6"/>
  <c r="J103" i="6"/>
  <c r="F103" i="6"/>
  <c r="J102" i="6"/>
  <c r="F102" i="6"/>
  <c r="J101" i="6"/>
  <c r="F101" i="6"/>
  <c r="J100" i="6"/>
  <c r="F100" i="6"/>
  <c r="J99" i="6"/>
  <c r="F99" i="6"/>
  <c r="J98" i="6"/>
  <c r="J97" i="6"/>
  <c r="F96" i="6"/>
  <c r="F95" i="6"/>
  <c r="F94" i="6"/>
  <c r="J93" i="6"/>
  <c r="F93" i="6"/>
  <c r="J92" i="6"/>
  <c r="F92" i="6"/>
  <c r="J91" i="6"/>
  <c r="F91" i="6"/>
  <c r="J90" i="6"/>
  <c r="F88" i="6"/>
  <c r="F87" i="6"/>
  <c r="J86" i="6"/>
  <c r="J85" i="6"/>
  <c r="J84" i="6"/>
  <c r="F84" i="6"/>
  <c r="J83" i="6"/>
  <c r="F83" i="6"/>
  <c r="J82" i="6"/>
  <c r="J81" i="6"/>
  <c r="F80" i="6"/>
  <c r="F79" i="6"/>
  <c r="J78" i="6"/>
  <c r="F78" i="6"/>
  <c r="J77" i="6"/>
  <c r="C77" i="6"/>
  <c r="F74" i="6" s="1"/>
  <c r="J76" i="6"/>
  <c r="J75" i="6"/>
  <c r="J74" i="6"/>
  <c r="J73" i="6"/>
  <c r="F72" i="6"/>
  <c r="F71" i="6"/>
  <c r="F70" i="6"/>
  <c r="J69" i="6"/>
  <c r="J68" i="6"/>
  <c r="F68" i="6"/>
  <c r="F66" i="6"/>
  <c r="J64" i="6"/>
  <c r="C64" i="6"/>
  <c r="F61" i="6" s="1"/>
  <c r="J63" i="6"/>
  <c r="J62" i="6"/>
  <c r="F62" i="6"/>
  <c r="J61" i="6"/>
  <c r="J60" i="6"/>
  <c r="F60" i="6"/>
  <c r="J59" i="6"/>
  <c r="J58" i="6"/>
  <c r="F58" i="6"/>
  <c r="J57" i="6"/>
  <c r="J55" i="6"/>
  <c r="J54" i="6"/>
  <c r="J53" i="6"/>
  <c r="F52" i="6"/>
  <c r="F51" i="6"/>
  <c r="J49" i="6"/>
  <c r="J48" i="6"/>
  <c r="F48" i="6"/>
  <c r="J47" i="6"/>
  <c r="C46" i="6"/>
  <c r="F98" i="5"/>
  <c r="F97" i="5"/>
  <c r="F96" i="5"/>
  <c r="J95" i="5"/>
  <c r="F95" i="5"/>
  <c r="J94" i="5"/>
  <c r="F94" i="5"/>
  <c r="J93" i="5"/>
  <c r="F93" i="5"/>
  <c r="J92" i="5"/>
  <c r="J91" i="5"/>
  <c r="J90" i="5"/>
  <c r="F90" i="5"/>
  <c r="J89" i="5"/>
  <c r="F89" i="5"/>
  <c r="J88" i="5"/>
  <c r="F88" i="5"/>
  <c r="F87" i="5"/>
  <c r="F86" i="5"/>
  <c r="F85" i="5"/>
  <c r="J84" i="5"/>
  <c r="J83" i="5"/>
  <c r="J82" i="5"/>
  <c r="F82" i="5"/>
  <c r="J81" i="5"/>
  <c r="F81" i="5"/>
  <c r="F78" i="5"/>
  <c r="J77" i="5"/>
  <c r="F77" i="5"/>
  <c r="J76" i="5"/>
  <c r="J75" i="5"/>
  <c r="J74" i="5"/>
  <c r="F74" i="5"/>
  <c r="J73" i="5"/>
  <c r="F73" i="5"/>
  <c r="J72" i="5"/>
  <c r="F72" i="5"/>
  <c r="C71" i="5"/>
  <c r="F63" i="5" s="1"/>
  <c r="J69" i="5"/>
  <c r="J68" i="5"/>
  <c r="F68" i="5"/>
  <c r="J67" i="5"/>
  <c r="J66" i="5"/>
  <c r="J65" i="5"/>
  <c r="J64" i="5"/>
  <c r="F64" i="5"/>
  <c r="J60" i="5"/>
  <c r="J59" i="5"/>
  <c r="C58" i="5"/>
  <c r="F54" i="5" s="1"/>
  <c r="F57" i="5"/>
  <c r="F56" i="5"/>
  <c r="J55" i="5"/>
  <c r="F55" i="5"/>
  <c r="J54" i="5"/>
  <c r="J53" i="5"/>
  <c r="F53" i="5"/>
  <c r="J52" i="5"/>
  <c r="F52" i="5"/>
  <c r="J51" i="5"/>
  <c r="F51" i="5"/>
  <c r="F50" i="5"/>
  <c r="J49" i="5"/>
  <c r="J48" i="5"/>
  <c r="J47" i="5"/>
  <c r="F46" i="5"/>
  <c r="F45" i="5"/>
  <c r="J43" i="5"/>
  <c r="J42" i="5"/>
  <c r="J41" i="5"/>
  <c r="C40" i="5"/>
  <c r="F42" i="5" s="1"/>
  <c r="F77" i="4"/>
  <c r="F76" i="4"/>
  <c r="F75" i="4"/>
  <c r="F74" i="4"/>
  <c r="J73" i="4"/>
  <c r="F73" i="4"/>
  <c r="J72" i="4"/>
  <c r="F72" i="4"/>
  <c r="J71" i="4"/>
  <c r="J70" i="4"/>
  <c r="J69" i="4"/>
  <c r="F69" i="4"/>
  <c r="J68" i="4"/>
  <c r="F68" i="4"/>
  <c r="F67" i="4"/>
  <c r="F66" i="4"/>
  <c r="F65" i="4"/>
  <c r="J64" i="4"/>
  <c r="F64" i="4"/>
  <c r="J63" i="4"/>
  <c r="J62" i="4"/>
  <c r="J61" i="4"/>
  <c r="F61" i="4"/>
  <c r="F60" i="4"/>
  <c r="J57" i="4"/>
  <c r="F57" i="4"/>
  <c r="J56" i="4"/>
  <c r="F56" i="4"/>
  <c r="J55" i="4"/>
  <c r="J54" i="4"/>
  <c r="J53" i="4"/>
  <c r="F53" i="4"/>
  <c r="J52" i="4"/>
  <c r="F52" i="4"/>
  <c r="F51" i="4"/>
  <c r="C50" i="4"/>
  <c r="F43" i="4" s="1"/>
  <c r="J49" i="4"/>
  <c r="J48" i="4"/>
  <c r="J47" i="4"/>
  <c r="F47" i="4"/>
  <c r="J46" i="4"/>
  <c r="J45" i="4"/>
  <c r="F45" i="4"/>
  <c r="J44" i="4"/>
  <c r="F42" i="4"/>
  <c r="J40" i="4"/>
  <c r="F40" i="4"/>
  <c r="J39" i="4"/>
  <c r="C37" i="4"/>
  <c r="F36" i="4"/>
  <c r="J35" i="4"/>
  <c r="F35" i="4"/>
  <c r="J34" i="4"/>
  <c r="F34" i="4"/>
  <c r="J33" i="4"/>
  <c r="F33" i="4"/>
  <c r="J32" i="4"/>
  <c r="F32" i="4"/>
  <c r="J31" i="4"/>
  <c r="F31" i="4"/>
  <c r="J30" i="4"/>
  <c r="F30" i="4"/>
  <c r="F29" i="4"/>
  <c r="J28" i="4"/>
  <c r="F28" i="4"/>
  <c r="J27" i="4"/>
  <c r="J26" i="4"/>
  <c r="F25" i="4"/>
  <c r="F24" i="4"/>
  <c r="J22" i="4"/>
  <c r="J21" i="4"/>
  <c r="J20" i="4"/>
  <c r="C19" i="4"/>
  <c r="F21" i="4" s="1"/>
  <c r="F84" i="3"/>
  <c r="F83" i="3"/>
  <c r="F82" i="3"/>
  <c r="J81" i="3"/>
  <c r="F81" i="3"/>
  <c r="J80" i="3"/>
  <c r="F80" i="3"/>
  <c r="J79" i="3"/>
  <c r="F79" i="3"/>
  <c r="J78" i="3"/>
  <c r="J77" i="3"/>
  <c r="J76" i="3"/>
  <c r="F76" i="3"/>
  <c r="F75" i="3"/>
  <c r="F74" i="3"/>
  <c r="F73" i="3"/>
  <c r="J72" i="3"/>
  <c r="F72" i="3"/>
  <c r="J71" i="3"/>
  <c r="F71" i="3"/>
  <c r="J70" i="3"/>
  <c r="J69" i="3"/>
  <c r="F68" i="3"/>
  <c r="F67" i="3"/>
  <c r="J65" i="3"/>
  <c r="J64" i="3"/>
  <c r="F64" i="3"/>
  <c r="J63" i="3"/>
  <c r="F63" i="3"/>
  <c r="J62" i="3"/>
  <c r="J61" i="3"/>
  <c r="J60" i="3"/>
  <c r="F60" i="3"/>
  <c r="F59" i="3"/>
  <c r="F58" i="3"/>
  <c r="J57" i="3"/>
  <c r="C57" i="3"/>
  <c r="F55" i="3" s="1"/>
  <c r="J56" i="3"/>
  <c r="J55" i="3"/>
  <c r="J54" i="3"/>
  <c r="J53" i="3"/>
  <c r="J52" i="3"/>
  <c r="F49" i="3"/>
  <c r="J48" i="3"/>
  <c r="J47" i="3"/>
  <c r="F47" i="3"/>
  <c r="C44" i="3"/>
  <c r="J43" i="3"/>
  <c r="F43" i="3"/>
  <c r="J42" i="3"/>
  <c r="F42" i="3"/>
  <c r="J41" i="3"/>
  <c r="F41" i="3"/>
  <c r="J40" i="3"/>
  <c r="F40" i="3"/>
  <c r="J39" i="3"/>
  <c r="F39" i="3"/>
  <c r="J38" i="3"/>
  <c r="F38" i="3"/>
  <c r="J37" i="3"/>
  <c r="F37" i="3"/>
  <c r="F36" i="3"/>
  <c r="J35" i="3"/>
  <c r="F35" i="3"/>
  <c r="J34" i="3"/>
  <c r="J33" i="3"/>
  <c r="F32" i="3"/>
  <c r="F31" i="3"/>
  <c r="J29" i="3"/>
  <c r="J28" i="3"/>
  <c r="J27" i="3"/>
  <c r="F27" i="3"/>
  <c r="C26" i="3"/>
  <c r="F28" i="3" s="1"/>
  <c r="F68" i="2"/>
  <c r="F67" i="2"/>
  <c r="J66" i="2"/>
  <c r="F66" i="2"/>
  <c r="J65" i="2"/>
  <c r="F65" i="2"/>
  <c r="J64" i="2"/>
  <c r="F64" i="2"/>
  <c r="J63" i="2"/>
  <c r="J62" i="2"/>
  <c r="F61" i="2"/>
  <c r="F60" i="2"/>
  <c r="F59" i="2"/>
  <c r="J58" i="2"/>
  <c r="F58" i="2"/>
  <c r="J57" i="2"/>
  <c r="F57" i="2"/>
  <c r="J56" i="2"/>
  <c r="F56" i="2"/>
  <c r="J55" i="2"/>
  <c r="F53" i="2"/>
  <c r="F52" i="2"/>
  <c r="J51" i="2"/>
  <c r="J50" i="2"/>
  <c r="J49" i="2"/>
  <c r="F49" i="2"/>
  <c r="J48" i="2"/>
  <c r="F48" i="2"/>
  <c r="J47" i="2"/>
  <c r="F47" i="2"/>
  <c r="J46" i="2"/>
  <c r="F44" i="2"/>
  <c r="J43" i="2"/>
  <c r="F43" i="2"/>
  <c r="J42" i="2"/>
  <c r="F42" i="2"/>
  <c r="J41" i="2"/>
  <c r="F41" i="2"/>
  <c r="J40" i="2"/>
  <c r="F40" i="2"/>
  <c r="J39" i="2"/>
  <c r="F39" i="2"/>
  <c r="J38" i="2"/>
  <c r="F38" i="2"/>
  <c r="F37" i="2"/>
  <c r="F36" i="2"/>
  <c r="F35" i="2"/>
  <c r="J34" i="2"/>
  <c r="J33" i="2"/>
  <c r="F32" i="2"/>
  <c r="F31" i="2"/>
  <c r="F30" i="2"/>
  <c r="J29" i="2"/>
  <c r="F29" i="2"/>
  <c r="J28" i="2"/>
  <c r="F28" i="2"/>
  <c r="J27" i="2"/>
  <c r="F27" i="2"/>
  <c r="J26" i="2"/>
  <c r="F26" i="2"/>
  <c r="F25" i="2"/>
  <c r="J24" i="2"/>
  <c r="F24" i="2"/>
  <c r="J23" i="2"/>
  <c r="J22" i="2"/>
  <c r="F21" i="2"/>
  <c r="F20" i="2"/>
  <c r="J18" i="2"/>
  <c r="J17" i="2"/>
  <c r="J16" i="2"/>
  <c r="F16" i="2"/>
  <c r="C15" i="2"/>
  <c r="F17" i="2" s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J3" i="1"/>
  <c r="A3" i="1"/>
  <c r="J2" i="1"/>
  <c r="F51" i="3" l="1"/>
  <c r="F44" i="4"/>
  <c r="F48" i="4"/>
  <c r="F49" i="5"/>
  <c r="F65" i="5"/>
  <c r="F69" i="5"/>
  <c r="F59" i="6"/>
  <c r="F63" i="6"/>
  <c r="F69" i="6"/>
  <c r="F72" i="7"/>
  <c r="F78" i="7"/>
  <c r="F67" i="9"/>
  <c r="F77" i="9"/>
  <c r="F66" i="10"/>
  <c r="F72" i="10"/>
  <c r="F67" i="12"/>
  <c r="F73" i="12"/>
  <c r="F70" i="13"/>
  <c r="F46" i="3"/>
  <c r="F52" i="3"/>
  <c r="F39" i="4"/>
  <c r="F60" i="5"/>
  <c r="F55" i="6"/>
  <c r="F75" i="6"/>
  <c r="F63" i="7"/>
  <c r="F67" i="7"/>
  <c r="F83" i="9"/>
  <c r="F57" i="10"/>
  <c r="F67" i="10"/>
  <c r="F62" i="13"/>
  <c r="F66" i="13"/>
  <c r="F78" i="9"/>
  <c r="F73" i="10"/>
  <c r="F62" i="11"/>
  <c r="F74" i="12"/>
  <c r="F58" i="13"/>
  <c r="F71" i="13"/>
  <c r="F53" i="3"/>
  <c r="F61" i="5"/>
  <c r="F56" i="6"/>
  <c r="F48" i="3"/>
  <c r="F46" i="4"/>
  <c r="F62" i="5"/>
  <c r="F67" i="5"/>
  <c r="F57" i="6"/>
  <c r="F75" i="12"/>
  <c r="F59" i="13"/>
  <c r="F66" i="5"/>
  <c r="F54" i="3"/>
  <c r="F41" i="4"/>
  <c r="F67" i="6"/>
  <c r="F73" i="6"/>
  <c r="F60" i="13"/>
  <c r="F64" i="13"/>
  <c r="F50" i="3"/>
  <c r="F61" i="13"/>
</calcChain>
</file>

<file path=xl/sharedStrings.xml><?xml version="1.0" encoding="utf-8"?>
<sst xmlns="http://schemas.openxmlformats.org/spreadsheetml/2006/main" count="11234" uniqueCount="2444">
  <si>
    <t>Folio sistema</t>
  </si>
  <si>
    <t>Folio interno</t>
  </si>
  <si>
    <t>Fecha</t>
  </si>
  <si>
    <t>Nombre</t>
  </si>
  <si>
    <t>Tel</t>
  </si>
  <si>
    <t>Dirección</t>
  </si>
  <si>
    <t>Ventas</t>
  </si>
  <si>
    <t>Monto</t>
  </si>
  <si>
    <t>Promedio de venta</t>
  </si>
  <si>
    <t>Servicio</t>
  </si>
  <si>
    <t>Comentarios con llamada posterior a venta</t>
  </si>
  <si>
    <t>90 Dias</t>
  </si>
  <si>
    <t>6 Meses</t>
  </si>
  <si>
    <t>1 Año</t>
  </si>
  <si>
    <t>Dietter Buchner</t>
  </si>
  <si>
    <t>33-3011-6892</t>
  </si>
  <si>
    <t>Rio San Francisco #160 casa 194 Col Arauca II Zapopan</t>
  </si>
  <si>
    <t>Origen</t>
  </si>
  <si>
    <t>Int</t>
  </si>
  <si>
    <t>Colchon KS eco, PURT</t>
  </si>
  <si>
    <t>Todo muy bien</t>
  </si>
  <si>
    <t>01/21</t>
  </si>
  <si>
    <t>02/21</t>
  </si>
  <si>
    <t>Samantha Rodriguez</t>
  </si>
  <si>
    <t>33-3800-7899</t>
  </si>
  <si>
    <t>La bella residencial #100 casa 56 Calle Inspiración</t>
  </si>
  <si>
    <t>Nathalie Jiménez</t>
  </si>
  <si>
    <t>Volcán de San Francisco #95 Casa 8 Huentitán</t>
  </si>
  <si>
    <t>Ana Gómez</t>
  </si>
  <si>
    <t>33-1606-8291</t>
  </si>
  <si>
    <t>Paseo del Encino #27 Col Guadalupe Inn Zapopan</t>
  </si>
  <si>
    <t>Sala íel Pig, Colchín Ind, Tapepte Eco</t>
  </si>
  <si>
    <t>Ana Sofía Villanueva</t>
  </si>
  <si>
    <t>33-2384-1413</t>
  </si>
  <si>
    <t>Av Naciones Unidas #7000 Casa1 1 Col. Lomas del Valle Zapopan</t>
  </si>
  <si>
    <t>Tapete Prem</t>
  </si>
  <si>
    <t>Muy bien</t>
  </si>
  <si>
    <t>Todo quedó muy bien, Quiere mas adelante otro</t>
  </si>
  <si>
    <t>Todo bien</t>
  </si>
  <si>
    <t>Alberto Fernández</t>
  </si>
  <si>
    <t>Le gustó mucho. Llamará pára mas servicio</t>
  </si>
  <si>
    <t>Alonso Ortíz Salazar</t>
  </si>
  <si>
    <t>33-1248-1254</t>
  </si>
  <si>
    <t>33-1457-8457</t>
  </si>
  <si>
    <t>33-1850-3153</t>
  </si>
  <si>
    <t>Ciruelo #1342 Col. Del Fresno Por Mariano Otero Mercado de abastos</t>
  </si>
  <si>
    <t>Interiores Hilux Prem</t>
  </si>
  <si>
    <t>05/21</t>
  </si>
  <si>
    <t>07/21</t>
  </si>
  <si>
    <t>Marcela López Castro</t>
  </si>
  <si>
    <t>33-2415-5750</t>
  </si>
  <si>
    <t>Volcán Paricutín #5809 Entre Volcán Boquerones y Volcán Momotombo Col El Coli  Urbano</t>
  </si>
  <si>
    <t>Futón Paq Eco</t>
  </si>
  <si>
    <t>Mayra Paredes</t>
  </si>
  <si>
    <t>33-3728-8620</t>
  </si>
  <si>
    <t>Tierra de danza #154 Fracc Terralta, Arriba de Miravalle, Tiaquepaque</t>
  </si>
  <si>
    <t>Sala 5 p t r paq prem</t>
  </si>
  <si>
    <t>09/21</t>
  </si>
  <si>
    <t>10/21</t>
  </si>
  <si>
    <t>11/21</t>
  </si>
  <si>
    <t>Lissette Benítez</t>
  </si>
  <si>
    <t>33-3815-5425</t>
  </si>
  <si>
    <t>Av Universidad #600 Puerta de la Luna #21 Coto puerta Plata, Zapopan</t>
  </si>
  <si>
    <t>Rec</t>
  </si>
  <si>
    <t>Sillon 3 p t r Eco</t>
  </si>
  <si>
    <t>Teresa Rivera</t>
  </si>
  <si>
    <t>33-1824-9218</t>
  </si>
  <si>
    <t>Arturo Tolentino #3385 Col. San Miguel de Huentitán, por Joaquín Amaro, a 1 cuadra de Perif</t>
  </si>
  <si>
    <t>Sala 6 p t f Senc</t>
  </si>
  <si>
    <t>12/21</t>
  </si>
  <si>
    <t>Carmen Quirarte</t>
  </si>
  <si>
    <t>33-3370-9176</t>
  </si>
  <si>
    <t>Volcán Vesibio #5856 casa 14 Col. El colli Zapopan</t>
  </si>
  <si>
    <t>Sala 5 p tf, Sillas, banca, taburete y sillón tf Eco</t>
  </si>
  <si>
    <t>Ma Guadalupe López</t>
  </si>
  <si>
    <t>33-3105-0987</t>
  </si>
  <si>
    <t>No contesta, se le manda mensaje y no contesta</t>
  </si>
  <si>
    <t>14/21</t>
  </si>
  <si>
    <t>16/21</t>
  </si>
  <si>
    <t>18/21</t>
  </si>
  <si>
    <t>19/21</t>
  </si>
  <si>
    <t>Rossana Chang</t>
  </si>
  <si>
    <t>33-3167-5930</t>
  </si>
  <si>
    <t>José Becerra #1599-2 Col. Paseos del Sol Casi esq Felipe Zeter</t>
  </si>
  <si>
    <t>Colchón mat Eco, PURT</t>
  </si>
  <si>
    <t>Se reportó que bien, lo checa y llama</t>
  </si>
  <si>
    <t>Pilar Salinas</t>
  </si>
  <si>
    <t>33-1845-3627</t>
  </si>
  <si>
    <t>Av Universidad #600 Puerta del sol #81 Coto puerta Plata, Zapopan</t>
  </si>
  <si>
    <t>Tapete dede lana y viscosa Healty</t>
  </si>
  <si>
    <t>Monica del Arenal</t>
  </si>
  <si>
    <t>210-544-4168</t>
  </si>
  <si>
    <t>Av. De la Paz #2077 Int C Chapultepec y Marsella</t>
  </si>
  <si>
    <t>Tapete de lana Prot</t>
  </si>
  <si>
    <t>Les gustó mucho</t>
  </si>
  <si>
    <t>Julia Iturribarrieta</t>
  </si>
  <si>
    <t>442-204-2645</t>
  </si>
  <si>
    <t>Pedro Moreno #1775 Int 303 Col. Americana</t>
  </si>
  <si>
    <t>Tapete de lana Healty</t>
  </si>
  <si>
    <t>21/21</t>
  </si>
  <si>
    <t>Gonalo Sport, S.A. de C.V.</t>
  </si>
  <si>
    <t>33-2951-5046</t>
  </si>
  <si>
    <t>Av Patria #1814 int 4o piso Col. Sta Isabel, Zapopan</t>
  </si>
  <si>
    <t>Pasto sintetico senc</t>
  </si>
  <si>
    <t>Cecilia Valdivia</t>
  </si>
  <si>
    <t>33-1171-5479</t>
  </si>
  <si>
    <t>Izamal #5919 Col. Pinar de la Calma Zapopan</t>
  </si>
  <si>
    <t>Sala 4 p rr, tapete de lana, Taburetes 2 Eco</t>
  </si>
  <si>
    <t>La llamada no puede concertarse</t>
  </si>
  <si>
    <t>No contesta, se manda wa, que todo muy bien</t>
  </si>
  <si>
    <t>No contesta, se manda wa</t>
  </si>
  <si>
    <t>Solicitan factura, el servicio muy bien</t>
  </si>
  <si>
    <t>Super bien</t>
  </si>
  <si>
    <t>23/21</t>
  </si>
  <si>
    <t>Cristina Paredes</t>
  </si>
  <si>
    <t>33-123-4231</t>
  </si>
  <si>
    <t>Av. Tepeyac #5131 casa 163 Col. Villas del Tepeyac Zapopan</t>
  </si>
  <si>
    <t>Colchón Ind Prem</t>
  </si>
  <si>
    <t>Quedo muy bien</t>
  </si>
  <si>
    <t>24/21</t>
  </si>
  <si>
    <t>Marcela Zaragoza</t>
  </si>
  <si>
    <t>33-3808-7738</t>
  </si>
  <si>
    <t>Av Patria #1891 Depto 1403 Torre Mobi33 Col. Puerta de Hierro</t>
  </si>
  <si>
    <t>Colchón Kin, Cabecera Eco</t>
  </si>
  <si>
    <t>No contesta, se manda wa, todo bien</t>
  </si>
  <si>
    <t>Aideé Dominguez</t>
  </si>
  <si>
    <t>33-1895-1479</t>
  </si>
  <si>
    <t>Av Paseo de la Toscana #808 casa 92 Fracc La Toscana II Zapopan</t>
  </si>
  <si>
    <t>Rosa Vega</t>
  </si>
  <si>
    <t>33-1158-3308</t>
  </si>
  <si>
    <t>Corregidora #268 Col. La Loma Medrano y Pensador Mexicano Gdj</t>
  </si>
  <si>
    <t>26/21</t>
  </si>
  <si>
    <t>Andrés Fernández</t>
  </si>
  <si>
    <t>33-3578-9392</t>
  </si>
  <si>
    <t>La Cueva #3253 Int 4 Colinas de San Javier Zapopan</t>
  </si>
  <si>
    <t>Vestiduras Suzuki Ignis</t>
  </si>
  <si>
    <t>Cliente Mamón, lleno de pelos de perro, no llamar</t>
  </si>
  <si>
    <t>Tapete, Purt, Sala 6 p a r Prot</t>
  </si>
  <si>
    <t>muy bien, repite</t>
  </si>
  <si>
    <t>22/21, 25/21</t>
  </si>
  <si>
    <t>No contesta, se manda WA</t>
  </si>
  <si>
    <t>Elvia Silva Mendoza</t>
  </si>
  <si>
    <t>33-1574-4990</t>
  </si>
  <si>
    <t>Av Guadalupe esq Ejido #52 San José el Salto (Aeropuerto)</t>
  </si>
  <si>
    <t>28/21</t>
  </si>
  <si>
    <t>Alex Zamora</t>
  </si>
  <si>
    <t>33-2078-2157</t>
  </si>
  <si>
    <t>Fray Juan de Zumárraga #639 Chapalita</t>
  </si>
  <si>
    <t>Colchón QS, Almohada Eco</t>
  </si>
  <si>
    <t>27/21, 29/21</t>
  </si>
  <si>
    <t>Colchones mat, Ind Eco, Pick up doble cabina, city Prem</t>
  </si>
  <si>
    <t>Le gustó , agenda vestiduras de autos</t>
  </si>
  <si>
    <t>No contesta, se manda wa, le encantó</t>
  </si>
  <si>
    <t>30/21</t>
  </si>
  <si>
    <t>Gilberto Montes</t>
  </si>
  <si>
    <t>33-3662-7656</t>
  </si>
  <si>
    <t>Fuente de Boyero #3700 Edif 3-401 Col. La Calma</t>
  </si>
  <si>
    <t>Marista</t>
  </si>
  <si>
    <t>Sala 5 p t f, senc</t>
  </si>
  <si>
    <t>Le gustó mucho y ya nos recomendó</t>
  </si>
  <si>
    <t>31/20</t>
  </si>
  <si>
    <t>MariCarmen Ramírez</t>
  </si>
  <si>
    <t>33-1600-8058</t>
  </si>
  <si>
    <t>Río de la Plata #2556 Col. Providencia</t>
  </si>
  <si>
    <t>Sala en L, bancos, Prem</t>
  </si>
  <si>
    <t>No contesta, se envía WA, quedaron bien</t>
  </si>
  <si>
    <t>32/21</t>
  </si>
  <si>
    <t>Leopoldo Rodríguez Ávila</t>
  </si>
  <si>
    <t>33-1266-7808</t>
  </si>
  <si>
    <t>Av. De los maestros #1291 Col. Mezquitán Guadalajara</t>
  </si>
  <si>
    <t>Colchón QS Eco</t>
  </si>
  <si>
    <t>33/21</t>
  </si>
  <si>
    <t>Gerardo Ortega</t>
  </si>
  <si>
    <t>33-3157-7650</t>
  </si>
  <si>
    <t>Cerrada del Capulín #71 Parques del Tepeyac Zapopan</t>
  </si>
  <si>
    <t>Alfombra Senc</t>
  </si>
  <si>
    <t>08/21, 35/21</t>
  </si>
  <si>
    <t>Bien, pero aun no se seca, repite</t>
  </si>
  <si>
    <t>34/21</t>
  </si>
  <si>
    <t xml:space="preserve">Cristina </t>
  </si>
  <si>
    <t>55-1815-1918</t>
  </si>
  <si>
    <t>Av Vallarta #4327 Edif B Depto 31 Fracc Camino Real Zapopan</t>
  </si>
  <si>
    <t>Tapete sintético Prot</t>
  </si>
  <si>
    <t>No se llama, cliente poquitero</t>
  </si>
  <si>
    <t>36/21</t>
  </si>
  <si>
    <t>AR Home Desarrollos Inmobiliarios</t>
  </si>
  <si>
    <t>33-358-7994</t>
  </si>
  <si>
    <t>Av Patria #358 Int 4 Col. Residencial la Estancia</t>
  </si>
  <si>
    <t>Sillas de of, sala de vinipiel</t>
  </si>
  <si>
    <t>Se factura</t>
  </si>
  <si>
    <t>Rodolfo Ramirez Aldaco</t>
  </si>
  <si>
    <t>33-3570-5376</t>
  </si>
  <si>
    <t>Circuito del Linco Pte #3193 Zapopan</t>
  </si>
  <si>
    <t>La secretaria, dice que todo bien</t>
  </si>
  <si>
    <t>38/21</t>
  </si>
  <si>
    <t>Fernanda Sapaio</t>
  </si>
  <si>
    <t>33-2384-3909</t>
  </si>
  <si>
    <t>Montevideo #3497 Zapopan</t>
  </si>
  <si>
    <t>Sofa cama Eco</t>
  </si>
  <si>
    <t>No contesta, se manda WA, quedo súper bien</t>
  </si>
  <si>
    <t>39/21</t>
  </si>
  <si>
    <t>Silvia Hidalgo</t>
  </si>
  <si>
    <t>Robert Shuman #5075 Int 102 Col. La Estancia Zapopan</t>
  </si>
  <si>
    <t>Mazda 3, Sillas A y r, Tapete sintetico Prot</t>
  </si>
  <si>
    <t>No tengo el cel</t>
  </si>
  <si>
    <t>Damaris Acevez Gómez</t>
  </si>
  <si>
    <t>33-3952-6676</t>
  </si>
  <si>
    <t>Valle de San Sebastian #2394 Coto Viveros de Valle Col. Jardines del Valle</t>
  </si>
  <si>
    <t>42/21</t>
  </si>
  <si>
    <t>César Rojas</t>
  </si>
  <si>
    <t>33-1797-0878</t>
  </si>
  <si>
    <t>Av. Del Servidor Público #1055 Es una cervecería</t>
  </si>
  <si>
    <t>Tapete sintético Healty</t>
  </si>
  <si>
    <t>41/21</t>
  </si>
  <si>
    <t>Gloria Gutierrez Gómez</t>
  </si>
  <si>
    <t>33-3508-4821</t>
  </si>
  <si>
    <t>Paseo de los Virreyes # 4213 Col. Universitaria</t>
  </si>
  <si>
    <t>No contesta, se manda WA le encanto</t>
  </si>
  <si>
    <t>Todo quedó muy bien, quedo muy satisfecha</t>
  </si>
  <si>
    <t>43/21</t>
  </si>
  <si>
    <t>Carmenina Guzmán</t>
  </si>
  <si>
    <t>33-3626-7726</t>
  </si>
  <si>
    <t>Caguama #2925 Entre Obsidiana y Pingüino Col. Loma Bonita Zapopan</t>
  </si>
  <si>
    <t>Sillón 4 p t f, Siila a, Tapate lana Senc</t>
  </si>
  <si>
    <t>44/21</t>
  </si>
  <si>
    <t>Wendy Apisdorf Padill</t>
  </si>
  <si>
    <t>33-3014-8779</t>
  </si>
  <si>
    <t>Calle Bogotá #2786 Col. Providencia Zapopan</t>
  </si>
  <si>
    <t>Referido</t>
  </si>
  <si>
    <t>Colchón ind, mat Healthy</t>
  </si>
  <si>
    <t>No se llama, refirió el Bajío, y con precios muy abajo</t>
  </si>
  <si>
    <t>45/21</t>
  </si>
  <si>
    <t>Matias Weber</t>
  </si>
  <si>
    <t>33-1894-2016</t>
  </si>
  <si>
    <t>Santa Martha #273 int 2 Col. El capullo Zapopan</t>
  </si>
  <si>
    <t>Sofá 2 p t r Prem</t>
  </si>
  <si>
    <t>46/21</t>
  </si>
  <si>
    <t>Sandra Salcedo</t>
  </si>
  <si>
    <t>33-1333-9175</t>
  </si>
  <si>
    <t>Cedro #26 H Col. Jardines De la Magdalena  Zapopan</t>
  </si>
  <si>
    <t>Sala 4 p t f, Sillas a Senc</t>
  </si>
  <si>
    <t>Todo bien, se solicita reseña en la pag</t>
  </si>
  <si>
    <t>47/21</t>
  </si>
  <si>
    <t>48/21</t>
  </si>
  <si>
    <t>49/21</t>
  </si>
  <si>
    <t>Cristina Reynaga</t>
  </si>
  <si>
    <t>22-2155-1245</t>
  </si>
  <si>
    <t>Tulipán #91 Coto Sendas Col. Valle Imperial</t>
  </si>
  <si>
    <t>Silla a y r, banco a y r</t>
  </si>
  <si>
    <t>No contesta, se manda WA, todo muy bien</t>
  </si>
  <si>
    <t>Arturo Valencia/Nereida Mencinas</t>
  </si>
  <si>
    <t>55-4368-5298</t>
  </si>
  <si>
    <t>Coto Arezzo Casa 206</t>
  </si>
  <si>
    <t>Silla a y r, banco a y r Prot</t>
  </si>
  <si>
    <t>Laura Nallely Escobar López</t>
  </si>
  <si>
    <t>33-2536-2631</t>
  </si>
  <si>
    <t>Coto Puerta de Llano Coto 12 Zona Dorada Casa 600 Zapopan</t>
  </si>
  <si>
    <t>Vestiduras coche med Senc</t>
  </si>
  <si>
    <t>Muy bien, quedó como  nuevo</t>
  </si>
  <si>
    <t>No contesta, se manda WA, quedaron manchas en una silla</t>
  </si>
  <si>
    <t xml:space="preserve">Está ocupado, se manda WA, le gustó mucho </t>
  </si>
  <si>
    <t>ok</t>
  </si>
  <si>
    <t>51/21</t>
  </si>
  <si>
    <t>Marcela Pérez</t>
  </si>
  <si>
    <t>33-3072-9738</t>
  </si>
  <si>
    <t>Manuel Cambre #1876 Col. Mezquital Country Guadalajara</t>
  </si>
  <si>
    <t>colchón KS Prot</t>
  </si>
  <si>
    <t>No contesta, se le manda WA, le gustó mucho</t>
  </si>
  <si>
    <t>Se manda WA</t>
  </si>
  <si>
    <t>52/21</t>
  </si>
  <si>
    <t>Iliana Figueroa</t>
  </si>
  <si>
    <t>33-2780-3807</t>
  </si>
  <si>
    <t>Juan de Dios de la Torre #2971 Col. Paseos del Sol Zapopan</t>
  </si>
  <si>
    <t>sillon 2p t f silla a Eco</t>
  </si>
  <si>
    <t>servicio excelente</t>
  </si>
  <si>
    <t>Tapete Healty, sala r, sillas a y r taburetes Prot, colchon</t>
  </si>
  <si>
    <t>54/21</t>
  </si>
  <si>
    <t>David Barocio</t>
  </si>
  <si>
    <t>31-2153-7762</t>
  </si>
  <si>
    <t>Boulevard Jardín Real #253 col. Jardín Real, zona Real Zapopan</t>
  </si>
  <si>
    <t>Sala piel 6 p t f, tabuere sala 3 p t f, eco</t>
  </si>
  <si>
    <t>Se manda WA, todo muy bien</t>
  </si>
  <si>
    <t>Alvaro Gilberto Rodríguez Becerra</t>
  </si>
  <si>
    <t>33-3676-2391</t>
  </si>
  <si>
    <t>Calle Abel Ayala #154 Col. Los Maestros</t>
  </si>
  <si>
    <t>Sala 4 p t f, sillas a y r banca Eco</t>
  </si>
  <si>
    <t>50/21</t>
  </si>
  <si>
    <t>Daniela Del Río</t>
  </si>
  <si>
    <t>33-3454-0924</t>
  </si>
  <si>
    <t>lázaro Cárdenas #3181 col. Chapalita</t>
  </si>
  <si>
    <t>Sala 3 p t f, tapete, Colchón QS Senc</t>
  </si>
  <si>
    <t>57/21</t>
  </si>
  <si>
    <t>Juan José Díaz/Edna R. Cevallos</t>
  </si>
  <si>
    <t>33-1280-9358</t>
  </si>
  <si>
    <t>Paseo de los tabachines #116 Coto 1 Col San José del Tajo Tlajomulco</t>
  </si>
  <si>
    <t>Colchónes 2 Ind y Mat Healty</t>
  </si>
  <si>
    <t>Israel Chávez</t>
  </si>
  <si>
    <t>33-3955-5779</t>
  </si>
  <si>
    <t>Se manda WA, Quedó muy bien</t>
  </si>
  <si>
    <t>59/21</t>
  </si>
  <si>
    <t>Carmen Rodríguez</t>
  </si>
  <si>
    <t>33-1661-4273</t>
  </si>
  <si>
    <t>Andrés Quintana Roo #2166 Col. Guadalupana Guadalajara</t>
  </si>
  <si>
    <t>61/21</t>
  </si>
  <si>
    <t>Carmen Vázquez</t>
  </si>
  <si>
    <t>Andrés Quintana Roo #2125 Col Guadalupana Guadalajara</t>
  </si>
  <si>
    <t>Sala Luis XV Prem</t>
  </si>
  <si>
    <t>60/21, 62/21</t>
  </si>
  <si>
    <t>Sala 5 p a r, Sillas a y r Protex, Colchón KS, Ind, Healty</t>
  </si>
  <si>
    <t>Solo el cel de la hija, se manda WA</t>
  </si>
  <si>
    <t>Silvia Macias</t>
  </si>
  <si>
    <t>33-1462-9428</t>
  </si>
  <si>
    <t>Av del Bosque Real #19 Casa 27 Coto Imperio Maya, Valle Imperial</t>
  </si>
  <si>
    <t>Tapete sint, Prot, PURT</t>
  </si>
  <si>
    <t>Verónica Hernández</t>
  </si>
  <si>
    <t>44-9101-5479</t>
  </si>
  <si>
    <t>Patria #1981 edificio Lobby 33 Depto 1201</t>
  </si>
  <si>
    <t>Taepte senc, PURT</t>
  </si>
  <si>
    <t>63/21</t>
  </si>
  <si>
    <t>Gina Chávez</t>
  </si>
  <si>
    <t>33-3201-6789</t>
  </si>
  <si>
    <t>Av Paseo Solares #934 Int 53 Col. Solares Zapopan</t>
  </si>
  <si>
    <t>Sala 6 p a r Senc</t>
  </si>
  <si>
    <t>Se manda WA, todo bien</t>
  </si>
  <si>
    <t>64/21</t>
  </si>
  <si>
    <t>Nora Isabel Sahagún Ruiz</t>
  </si>
  <si>
    <t>33-1810-3354</t>
  </si>
  <si>
    <t>Prolongación Atotonilco # 1786-69 Col. Nuevo México, Zapopan</t>
  </si>
  <si>
    <t>Sofa cama, Interiores Vento, Colchón Mat Senc</t>
  </si>
  <si>
    <t>Le gustó mucho, un equipo muy profesional</t>
  </si>
  <si>
    <t>65/21</t>
  </si>
  <si>
    <t>Ricardo Rodríguez</t>
  </si>
  <si>
    <t>66-2227-8437</t>
  </si>
  <si>
    <t>Calle Escuadrón 201 Int 109 Col. El Olivo, Fracc El Olivo Residencial</t>
  </si>
  <si>
    <t>Sillón 1 p t f, colchón KS Eco</t>
  </si>
  <si>
    <t>Se manda WA Todo bien</t>
  </si>
  <si>
    <t>66/21</t>
  </si>
  <si>
    <t>Priscilla Lam</t>
  </si>
  <si>
    <t>87-1135-9030</t>
  </si>
  <si>
    <t>Av del Servidor Público #1262 Coto Real del Carmne Grand Casa 215</t>
  </si>
  <si>
    <t>Sillas a y r, Bancos a y r, sillón 1 p t f, sillón 3 p t r Senc</t>
  </si>
  <si>
    <t>Se manda WA, muy buen servicio</t>
  </si>
  <si>
    <t>67/21</t>
  </si>
  <si>
    <t>Trinidad Terrazas Gastélum</t>
  </si>
  <si>
    <t>33-1538-6140</t>
  </si>
  <si>
    <t>Camino Real a Colima Fracc Hda. Del Oro #3002 Coto H 10-A</t>
  </si>
  <si>
    <t>Tapete sint Prem</t>
  </si>
  <si>
    <t>68/21</t>
  </si>
  <si>
    <t>Víctor Manuel Elizarrarás García</t>
  </si>
  <si>
    <t>46-9628-0003</t>
  </si>
  <si>
    <t>Nápoles #2867 int 6 Col. Lomas de Providencia</t>
  </si>
  <si>
    <t>Sala 5 p a r, reposet Senc</t>
  </si>
  <si>
    <t>69/21</t>
  </si>
  <si>
    <t>Carlos Guillermo Millán Medina</t>
  </si>
  <si>
    <t>33-1244-1870</t>
  </si>
  <si>
    <t>Sierra Madre Oriental #520-C Col. Lomas del Mirador</t>
  </si>
  <si>
    <t>Sala 3 p t f Eco</t>
  </si>
  <si>
    <t>70/21</t>
  </si>
  <si>
    <t>Rigoberto Cornejo Pinto</t>
  </si>
  <si>
    <t>33-1296-4910</t>
  </si>
  <si>
    <t>Península #2863 Col. Bosques de la Victoria, entre Aguamarina y Cuarzo</t>
  </si>
  <si>
    <t>Ernestina Aceves</t>
  </si>
  <si>
    <t>33-3167-6650</t>
  </si>
  <si>
    <t>Alfombra, sillon 6 p a r Senc</t>
  </si>
  <si>
    <t>Se manda WA a la sobrina</t>
  </si>
  <si>
    <t>71/21,72-21</t>
  </si>
  <si>
    <t>73/21</t>
  </si>
  <si>
    <t>Jorge Zapata Cuevas</t>
  </si>
  <si>
    <t>44-4119-9284</t>
  </si>
  <si>
    <t>Francisco Frejes #267 Entre Garibaldi y Angulo</t>
  </si>
  <si>
    <t>Bahía de Acapilco #2988-23 Col. Parques del Bosque Coto Condominio Del Árbol</t>
  </si>
  <si>
    <t>Interiores Mazda 3 Eco</t>
  </si>
  <si>
    <t>Guillermina Aguirre</t>
  </si>
  <si>
    <t>33-1479-5225</t>
  </si>
  <si>
    <t>Ermita # 1630 Int D Entre árbol y Cubilete Col. Chapalita</t>
  </si>
  <si>
    <t>Tapete sin Senc PURT</t>
  </si>
  <si>
    <t>75/21</t>
  </si>
  <si>
    <t>Carola Nieto</t>
  </si>
  <si>
    <t>33-1294-7832</t>
  </si>
  <si>
    <t>Av del Tule#480Casa 63-A Col Del Tule Zapopan</t>
  </si>
  <si>
    <t>Tapetes sin, sala 6 p t f Prot</t>
  </si>
  <si>
    <t>76/21</t>
  </si>
  <si>
    <t>Valeria Tamayo</t>
  </si>
  <si>
    <t>33-3406-5418</t>
  </si>
  <si>
    <t>Juan Talamar y Aria #705 Int PHA Torre Vista Por el Hosp San Javier</t>
  </si>
  <si>
    <t>Sala 3 p t r, Sala 4 p t r Senc</t>
  </si>
  <si>
    <t>77/21</t>
  </si>
  <si>
    <t>Francisco Javier Hernández</t>
  </si>
  <si>
    <t>33-2009-1085</t>
  </si>
  <si>
    <t>Av Río Blanco #1511 Int 305 Coto Alameda Col. Jardines de Tesistán</t>
  </si>
  <si>
    <t>Sala en L 4 p a r, Sillas a y r Senc</t>
  </si>
  <si>
    <t>Se manda WA, todo quedó bien</t>
  </si>
  <si>
    <t>Se mannda WA, Quedaron muy bien</t>
  </si>
  <si>
    <t>Andador Las Fuentes #3429 Depto 31/ Isla Española #2619 Col Jardines de la Cruz</t>
  </si>
  <si>
    <t>Colchon Mat, 2 ind, sillon ind t f Eco, Colchón QS Healty, Sofa Eco</t>
  </si>
  <si>
    <t>13/21,79/21</t>
  </si>
  <si>
    <t>80/21</t>
  </si>
  <si>
    <t>Luis Carlos Hernández</t>
  </si>
  <si>
    <t>33-1154-6105</t>
  </si>
  <si>
    <t>Río Colotlán #2062 Col. Las äguilas Entre Rios Santiago y Río Cutzamala</t>
  </si>
  <si>
    <t>Sala 6 p a r Eco</t>
  </si>
  <si>
    <t>Se manda WA, le gustó mucho, la sala parece nueva</t>
  </si>
  <si>
    <t>Se manda WA, estuvo super bien, se nota la diferencia</t>
  </si>
  <si>
    <t>Se manda WA, no contesta</t>
  </si>
  <si>
    <t>Se mnda WA, no contesta</t>
  </si>
  <si>
    <t>81/21</t>
  </si>
  <si>
    <t>Greta Herrera/Yolanda</t>
  </si>
  <si>
    <t>33-1065-1327</t>
  </si>
  <si>
    <t>Paseo de la Toscana #888 casa 118 Col. La Toscana Zapopan</t>
  </si>
  <si>
    <t>Sala 6p r r, Eco</t>
  </si>
  <si>
    <t>82/21</t>
  </si>
  <si>
    <t>Claudia Leo</t>
  </si>
  <si>
    <t>33-1700-8885</t>
  </si>
  <si>
    <t>David Alfaro Siqueiros #194 Col. Santa Paula Tonalá</t>
  </si>
  <si>
    <t>Sillas a y r, colchón Ind, Senc</t>
  </si>
  <si>
    <t>Se manda WA, se pide regresar por uno de los tapetes</t>
  </si>
  <si>
    <t>83/21</t>
  </si>
  <si>
    <t>José Antonio Rivero Valls</t>
  </si>
  <si>
    <t>33-1623-1570</t>
  </si>
  <si>
    <t>Esmeralda #2984</t>
  </si>
  <si>
    <t>Silla a y r, tapete sint senc</t>
  </si>
  <si>
    <t>Se manda WA quedó muy bien</t>
  </si>
  <si>
    <t>84/21</t>
  </si>
  <si>
    <t>Rafael Benítez</t>
  </si>
  <si>
    <t>33-3570-7278</t>
  </si>
  <si>
    <t>Monte Parnasso #2777 Col. Federacha, por el estadio Jalisco</t>
  </si>
  <si>
    <t>Sala 6p a r Prot</t>
  </si>
  <si>
    <t>85/21</t>
  </si>
  <si>
    <t>Ma Elena Tovar Flores</t>
  </si>
  <si>
    <t>33-1092-2696</t>
  </si>
  <si>
    <t>Privada Josué #169 Coto Caín Col. Residencial Jardines del Edén</t>
  </si>
  <si>
    <t>Sala 5 p t f senc</t>
  </si>
  <si>
    <t>Se manda WA, es casa de su mamá lo va achecar</t>
  </si>
  <si>
    <t>86/21</t>
  </si>
  <si>
    <t>Judith Ramos</t>
  </si>
  <si>
    <t>33-1303-2329</t>
  </si>
  <si>
    <t>Sendero del Roble #301 Coto 2 Rancho San José del Tajo, adelate del Palomar</t>
  </si>
  <si>
    <t>Sala 4 p t f Prot</t>
  </si>
  <si>
    <t>Se manda WA, que quedaron manchas</t>
  </si>
  <si>
    <t>Se manda WA, quedó excelente</t>
  </si>
  <si>
    <t>Se manda WA, lo va a checar</t>
  </si>
  <si>
    <t>87/21</t>
  </si>
  <si>
    <t>Ana María Campa</t>
  </si>
  <si>
    <t>33-1234-1526</t>
  </si>
  <si>
    <t>Del Cañón #163 Col. Paseo de la Cañada Tonala</t>
  </si>
  <si>
    <t>Sala 8 p t f, Sillas a y r, banca 2 p Senc</t>
  </si>
  <si>
    <t>40/21, 78/21,88/21</t>
  </si>
  <si>
    <t>Colchón KS Senc, sala 5 p t f</t>
  </si>
  <si>
    <t>89/21</t>
  </si>
  <si>
    <t>Bibiana García</t>
  </si>
  <si>
    <t>33-3200-7129</t>
  </si>
  <si>
    <t>Calle San Francisco #4012 Int 73 Coto Palma Real Col. Parques del Palmar Tlaquepaque</t>
  </si>
  <si>
    <t>Sala 4 p r r, Colchón mat Prem</t>
  </si>
  <si>
    <t>Le gustó mucho, el servicio de calidad y empático</t>
  </si>
  <si>
    <t>90/21</t>
  </si>
  <si>
    <t>Paulina Castillo</t>
  </si>
  <si>
    <t>33-2834-5339</t>
  </si>
  <si>
    <t>Colto Halieto Int 8 Zapopan</t>
  </si>
  <si>
    <t>Sala 4 p t f, tapete sint Senc PURT</t>
  </si>
  <si>
    <t>91/21</t>
  </si>
  <si>
    <t>Juan Asencio</t>
  </si>
  <si>
    <t>33-1863-4443</t>
  </si>
  <si>
    <t>Paseo Loma Alta #1668 Col. Bella Vista Tonalá</t>
  </si>
  <si>
    <t>Camioneta Frontier doble cabina Prem</t>
  </si>
  <si>
    <t>92/21</t>
  </si>
  <si>
    <t>Daniel García</t>
  </si>
  <si>
    <t>33-3959-4800</t>
  </si>
  <si>
    <t>Calle Lomas Verdes #2165 Col. :lomas de Atemejac Zapopan</t>
  </si>
  <si>
    <t>Sala 6 p t f, cojines Senc, Teflón</t>
  </si>
  <si>
    <t>Le gustó mucho el servicio</t>
  </si>
  <si>
    <t>93/21</t>
  </si>
  <si>
    <t>Ana Cristina Macias</t>
  </si>
  <si>
    <t>33-1838-5447</t>
  </si>
  <si>
    <t>Mariano Otero #3661 Col. La Calma</t>
  </si>
  <si>
    <t>Sala 6 p t f Eco,</t>
  </si>
  <si>
    <t>Solicita Factura, se manda WA</t>
  </si>
  <si>
    <t>94/21</t>
  </si>
  <si>
    <t>Angel Dorador</t>
  </si>
  <si>
    <t>33-3171-7633</t>
  </si>
  <si>
    <t>Av Ahuehuete #251 Col. Puertas del Tule Coto Plúmbago Casa F-2</t>
  </si>
  <si>
    <t>Tapete sin Healty, PURT</t>
  </si>
  <si>
    <t>95/21</t>
  </si>
  <si>
    <t>Karla Valeria Carmona Miramontes</t>
  </si>
  <si>
    <t>33-2726-0994</t>
  </si>
  <si>
    <t>Paseo de la Cadena #2993 Col. Álamo Industrial Tlaquepaque</t>
  </si>
  <si>
    <t>Tapete sint, , carriola y porta bebe, Senc</t>
  </si>
  <si>
    <t>96/21</t>
  </si>
  <si>
    <t>Nancy Acuña</t>
  </si>
  <si>
    <t>Hacienda el Platanar #1739 Col.Circunvalación Oblatos por clinica 10</t>
  </si>
  <si>
    <t>Sala 5 p t f, Colchón mat, Eco, PURT</t>
  </si>
  <si>
    <t>No tenemos tel</t>
  </si>
  <si>
    <t>97/21</t>
  </si>
  <si>
    <t>Coral Virgen</t>
  </si>
  <si>
    <t>33-1447-4613</t>
  </si>
  <si>
    <t>Fracc Los Molinos I Coto Pércimo Ext 1050 Int 39</t>
  </si>
  <si>
    <t>Silla 4 a y r, silla 2, a Prem</t>
  </si>
  <si>
    <t>98/21</t>
  </si>
  <si>
    <t>Diego Alejandro Navarro</t>
  </si>
  <si>
    <t>33-2988-0515</t>
  </si>
  <si>
    <t>Francisco Macín #5244 Col. El Colli CTM Zapopan</t>
  </si>
  <si>
    <t>Colchón Ind Eco PURT</t>
  </si>
  <si>
    <t>99/21</t>
  </si>
  <si>
    <t>Francisca Vázquez de Rodríguez</t>
  </si>
  <si>
    <t>33-1317-8357</t>
  </si>
  <si>
    <t>Av Manuel Acuña #3491 Guadalajara</t>
  </si>
  <si>
    <t>100/21</t>
  </si>
  <si>
    <t>Jesús Lizárraga</t>
  </si>
  <si>
    <t>33-3954-5216</t>
  </si>
  <si>
    <t>Paseo de las Artes #60 Casa 82 Col. Ayamonte Zapopan</t>
  </si>
  <si>
    <t>Tapete sintético Eco, PURT</t>
  </si>
  <si>
    <t>102/21</t>
  </si>
  <si>
    <t>Teresa Del Valle</t>
  </si>
  <si>
    <t>33-3559-6833</t>
  </si>
  <si>
    <t>Aurora Boreal #4257 Col. Arboledas Entre Claudio Ptolomeo Y Laplace</t>
  </si>
  <si>
    <t>Alfombra, Sala 6 p a r, sillas a Senc</t>
  </si>
  <si>
    <t>Universidad Lamar/ Juan Rodriguez</t>
  </si>
  <si>
    <t>33-1863-7339</t>
  </si>
  <si>
    <t>José Gpe Zuno #1964 Col Americana, campus Chapultepec</t>
  </si>
  <si>
    <t xml:space="preserve">Alfombra Prot </t>
  </si>
  <si>
    <t>Piden cotización para otro campus</t>
  </si>
  <si>
    <t>No se llama, cliente difícil</t>
  </si>
  <si>
    <t>Hilda Franco</t>
  </si>
  <si>
    <t>33-3003-0100</t>
  </si>
  <si>
    <t>Av de las Rosas #210 Col. Chapalita</t>
  </si>
  <si>
    <t>Alfombra Prem</t>
  </si>
  <si>
    <t>105/21</t>
  </si>
  <si>
    <t>City Market Plaza Patria/Raúl Peña</t>
  </si>
  <si>
    <t>Plaza Patria</t>
  </si>
  <si>
    <t xml:space="preserve">Sillón 3 p t f, cojines </t>
  </si>
  <si>
    <t>106/21</t>
  </si>
  <si>
    <t>Lourdes Liberto</t>
  </si>
  <si>
    <t>55-2102-5371</t>
  </si>
  <si>
    <t>33-1357-5962</t>
  </si>
  <si>
    <t>San Uriel #689 Col. Chapalita Entre Av Tepeyac Y Av Gpe</t>
  </si>
  <si>
    <t>Sala 7 p t f, colchon mat y QS, Prem</t>
  </si>
  <si>
    <t>Quedó muy bien</t>
  </si>
  <si>
    <t>Se mada WA, le super encantó</t>
  </si>
  <si>
    <t>Se manda WA, excelente</t>
  </si>
  <si>
    <t>Claudia Zavala</t>
  </si>
  <si>
    <t>33-3846-1833</t>
  </si>
  <si>
    <t>Fco I Madero #6165 casa 1 Entre Solera y Acero Zapopan</t>
  </si>
  <si>
    <t>Colchón KS, Senc, PURT</t>
  </si>
  <si>
    <t>108/21</t>
  </si>
  <si>
    <t>Emilia López Castilla</t>
  </si>
  <si>
    <t>33-3105-9730</t>
  </si>
  <si>
    <t>Camino a la brecha #1222 Por Pisa Tlajomulco</t>
  </si>
  <si>
    <t>Colchones KS, Mat, Ind, Futón, Sillón 3 p t f Eco</t>
  </si>
  <si>
    <t>Quedaron muy contentos con el cambio</t>
  </si>
  <si>
    <t>Se manda WA, no bajó la mancha, en la sala si</t>
  </si>
  <si>
    <t>109/21</t>
  </si>
  <si>
    <t>Laura Leticia Ramos Cortés</t>
  </si>
  <si>
    <t>33-1163-0038</t>
  </si>
  <si>
    <t>Calle Jardín #33 Col Lindavista Tlaquepaque</t>
  </si>
  <si>
    <t>Sala 6 p r r, Eco</t>
  </si>
  <si>
    <t>Se manda WA, quedó muy bien, ya nos recomendó</t>
  </si>
  <si>
    <t>110/21</t>
  </si>
  <si>
    <t>Tribunal de justicia/ Lic Maria Villanueva</t>
  </si>
  <si>
    <t>33-1149-4689</t>
  </si>
  <si>
    <t>Hidalgo #190 Col. Centro, Guadalajara</t>
  </si>
  <si>
    <t>Tapete sintetico Prot</t>
  </si>
  <si>
    <t>Se manda WA, muy conenta con el resultado, recomienda al 100</t>
  </si>
  <si>
    <t>111/21</t>
  </si>
  <si>
    <t>Héctro Zúñiga Ramírez</t>
  </si>
  <si>
    <t>33-1071-2990</t>
  </si>
  <si>
    <t>Puerto Tampico #321 Col. San Pedrito Tlaquepaque</t>
  </si>
  <si>
    <t>Interiores de civic, Senc</t>
  </si>
  <si>
    <t>112/21</t>
  </si>
  <si>
    <t>Yadira Guadalupe Marcoff De La Torre</t>
  </si>
  <si>
    <t>33-1367-7129</t>
  </si>
  <si>
    <t>5 de Mayo #130 Int 228 Fracc El Pueblito del Sol, Tonalá</t>
  </si>
  <si>
    <t>Colchón Mat, Purt, sillas a y r</t>
  </si>
  <si>
    <t>Se manda WA todo muy bien</t>
  </si>
  <si>
    <t>Administración y edificación en Retail Ferragamo Andares Jaqueline Rmz</t>
  </si>
  <si>
    <t>33-1885-2853</t>
  </si>
  <si>
    <t>Plaza Andares</t>
  </si>
  <si>
    <t>Alfombra, Prem, Se hace en 2 partes</t>
  </si>
  <si>
    <t>Parece que bien</t>
  </si>
  <si>
    <t>114/21</t>
  </si>
  <si>
    <t>Claudia Gazca Segoviano</t>
  </si>
  <si>
    <t>33-3201-7174</t>
  </si>
  <si>
    <t>Pablo Neruda #3273-1101 Entre Acueducto y Nueva Escocia</t>
  </si>
  <si>
    <t>Colchón KS, Eco, PURT</t>
  </si>
  <si>
    <t>Excelente</t>
  </si>
  <si>
    <t>115/21</t>
  </si>
  <si>
    <t>Ma. Felícitas Juárez</t>
  </si>
  <si>
    <t>33-1293-6494</t>
  </si>
  <si>
    <t>Circuito del Higo #35-3 Coto Higo Fracc Los molinos, por carr Colotlán</t>
  </si>
  <si>
    <t>Colchón Mat Prem</t>
  </si>
  <si>
    <t>Le gustó mucho</t>
  </si>
  <si>
    <t>116/21</t>
  </si>
  <si>
    <t>Av Presa Laurel #794 Col. San Joaquín Entre Pablo Valdéz y Presa Osario</t>
  </si>
  <si>
    <t>33-3131-7465</t>
  </si>
  <si>
    <t>Pita Pacheco Arroyo</t>
  </si>
  <si>
    <t>Quedaron muy bien ,el Ing Muy amable</t>
  </si>
  <si>
    <t>117/21</t>
  </si>
  <si>
    <t>Marisol Vallarta</t>
  </si>
  <si>
    <t>33-3119-3463</t>
  </si>
  <si>
    <t>Calle Piscis #343 Col. Juan Manuel Vallarta, Entre Aries y Tauro</t>
  </si>
  <si>
    <t>Sala 2 p t f, tapete sintetico, Prot</t>
  </si>
  <si>
    <t>118/21</t>
  </si>
  <si>
    <t>Raúl Pérez</t>
  </si>
  <si>
    <t>33-1249-3058</t>
  </si>
  <si>
    <t>Cerrada de la Calesa #1050 Int S5 Guadalupe Jardín</t>
  </si>
  <si>
    <t>Colchón QS Prot</t>
  </si>
  <si>
    <t>119/21</t>
  </si>
  <si>
    <t>Guadalupe Pérez</t>
  </si>
  <si>
    <t>33-3189-1402</t>
  </si>
  <si>
    <t>Priv Laurel Real #3976 Fracc Puerta Laurel Sur. Col. Nuevo México</t>
  </si>
  <si>
    <t>Sala 5 p t f, taburete Senc</t>
  </si>
  <si>
    <t>120/21</t>
  </si>
  <si>
    <t>Donají del Carmen Mayoral Reyes</t>
  </si>
  <si>
    <t>55-3659-8667</t>
  </si>
  <si>
    <t>Paseo de Loma Larga #4258 Int 4 Col. Villa Universitaria Zapopan</t>
  </si>
  <si>
    <t>Futón Prot</t>
  </si>
  <si>
    <t>Gabriela Cuevas</t>
  </si>
  <si>
    <t>33-1599-5619</t>
  </si>
  <si>
    <t>le encantó, repite</t>
  </si>
  <si>
    <t>Se manda WA, el servicio bien, pero quedó una mancha</t>
  </si>
  <si>
    <t>122/21</t>
  </si>
  <si>
    <t>Rafael Murguía</t>
  </si>
  <si>
    <t>33-3368-9106</t>
  </si>
  <si>
    <t>Aurelio Ortega #898 Col Seatle</t>
  </si>
  <si>
    <t>Sala 4 p t f, senc PURT</t>
  </si>
  <si>
    <t>123/21</t>
  </si>
  <si>
    <t>Banregio/Rogelio Villareal/Javier García Barajas</t>
  </si>
  <si>
    <t>33-1105-2824</t>
  </si>
  <si>
    <t>Lázaro Cárdenas #4124 Col. Jardínes de San Ignacio</t>
  </si>
  <si>
    <t>Sillas oficina Prem</t>
  </si>
  <si>
    <t>Raúl pregunta</t>
  </si>
  <si>
    <t>124/21</t>
  </si>
  <si>
    <t>Lizette Navarro Maldonado</t>
  </si>
  <si>
    <t>33-3350-7371</t>
  </si>
  <si>
    <t>Isla San Juanito #2739 Entre Cuarzo e Isla Telos, por Plza Arboledas</t>
  </si>
  <si>
    <t>125/21</t>
  </si>
  <si>
    <t>Rocío Zepeda Covarrubias</t>
  </si>
  <si>
    <t>33-1724-8673</t>
  </si>
  <si>
    <t>Luna #14 Puerta Plata Zapopan</t>
  </si>
  <si>
    <t>Sala 6 p a r, banca, sillas a y r, Sala 6 p Senc</t>
  </si>
  <si>
    <t>Se manda WA, todo excelente</t>
  </si>
  <si>
    <t>126/21</t>
  </si>
  <si>
    <t>Ana Almanza Cruz</t>
  </si>
  <si>
    <t>33-1130-6083</t>
  </si>
  <si>
    <t>San Luis Gonzaga #4763 Int 8 Col. Jardines de Gpe. Zapopan</t>
  </si>
  <si>
    <t>Sala 6 p r r, Senc</t>
  </si>
  <si>
    <t>Se manda Wa, Todo bien, le gustó mucho el servicio</t>
  </si>
  <si>
    <t>121/21, 127/21</t>
  </si>
  <si>
    <t>Salvador bahía #2858-12/ Rinc Bugambilias #3630 Int 8 Col. Santa Rita</t>
  </si>
  <si>
    <t>Sala t r, senc PURT, sala r r, Eco PURT</t>
  </si>
  <si>
    <t>Verónica Ortega</t>
  </si>
  <si>
    <t>33-2065-8294</t>
  </si>
  <si>
    <t>San Felipe #1203 Col. Villaseñor o Santa Tere</t>
  </si>
  <si>
    <t>Colchón Ind Prot</t>
  </si>
  <si>
    <t>Muy Cutre</t>
  </si>
  <si>
    <t>128/21</t>
  </si>
  <si>
    <t>Ma de Lourdes Flores Rodríguez</t>
  </si>
  <si>
    <t>33-3139-3130</t>
  </si>
  <si>
    <t>Calle del Campo #2678 Col. Palmira Zapopan</t>
  </si>
  <si>
    <t>Sala 3 p t f, Reposet Sillas solo asiente Senc</t>
  </si>
  <si>
    <t>129/21</t>
  </si>
  <si>
    <t>Lourdes Arias</t>
  </si>
  <si>
    <t>33-1575-1355</t>
  </si>
  <si>
    <t>Tungsteno #14 Col Jardines Tapatíos Zapopan</t>
  </si>
  <si>
    <t>Sala 6 p r r Senc</t>
  </si>
  <si>
    <t>131/21</t>
  </si>
  <si>
    <t>Fátima Chávez</t>
  </si>
  <si>
    <t>33-1419-5213</t>
  </si>
  <si>
    <t>Francisco Sarabia #679 Col. San Isidro Ejidal Zapopan</t>
  </si>
  <si>
    <t>Colchón Mat Healty</t>
  </si>
  <si>
    <t>Cutre</t>
  </si>
  <si>
    <t>132/21</t>
  </si>
  <si>
    <t>Gabriel I. González/ Prod y sist p la salud ambiental</t>
  </si>
  <si>
    <t>33-1973-8158</t>
  </si>
  <si>
    <t>Mármol #2220- A Col. Mariano Otero Zapopan</t>
  </si>
  <si>
    <t>Tapete senc, PURT</t>
  </si>
  <si>
    <t>Ana Barajas</t>
  </si>
  <si>
    <t>33-1601-8194</t>
  </si>
  <si>
    <t>Río Blanco #1900 casa 168 Col Argenta Residencial Zapopan</t>
  </si>
  <si>
    <t>134/21</t>
  </si>
  <si>
    <t>Maricela Molina</t>
  </si>
  <si>
    <t>33-3833-9794</t>
  </si>
  <si>
    <t>Emulio Carranza #243 Col. Centro o San Isidro Ejidal Zapopan</t>
  </si>
  <si>
    <t>No contesta</t>
  </si>
  <si>
    <t>135/21</t>
  </si>
  <si>
    <t>Tere Ortega</t>
  </si>
  <si>
    <t>Priv Fuente de Boyero #3700 Edif 1 Depsto 403 Col. La Calma</t>
  </si>
  <si>
    <t>Recom</t>
  </si>
  <si>
    <t>Sala 5 p t r, Sillas s a Senc PURT</t>
  </si>
  <si>
    <t>104/21, 130/21</t>
  </si>
  <si>
    <t>06/21, 15/21,136/21</t>
  </si>
  <si>
    <t>Rinconada Gaona #1227 Col Alamedas entre M. Otero y Periférico / Antonio Valeriano #363 Col. Chapalita</t>
  </si>
  <si>
    <t>Interiores de BMW piel Prot, Int Toledo, sillas r y a, Sala 7 p r Senc, Interiores Piel Mazda CX3 Prot</t>
  </si>
  <si>
    <t>No tenemos teléfono</t>
  </si>
  <si>
    <t>137/21</t>
  </si>
  <si>
    <t>Mariana Magdalena Rodríguez Márquez</t>
  </si>
  <si>
    <t>33-3680-5561</t>
  </si>
  <si>
    <t>Priv Félix Cervantes #56 Col. Asunción a espaldas de clínica 54 Tlaquep</t>
  </si>
  <si>
    <t>Sala 5 p r r, Senc</t>
  </si>
  <si>
    <t>Se manda WA, quedó muy bien, excelente servicio</t>
  </si>
  <si>
    <t>Se mnada WA, no contesta</t>
  </si>
  <si>
    <t>138/21</t>
  </si>
  <si>
    <t>Playa Chamela #5301 Int 9 Col. Puerta Villas del Sol Zapopan</t>
  </si>
  <si>
    <t>Salvador Cárdenas López</t>
  </si>
  <si>
    <t>33-2108-3020</t>
  </si>
  <si>
    <t>Sillones, Cojines, Colchones Ind, Mat, Prem, PURT</t>
  </si>
  <si>
    <t>139/21</t>
  </si>
  <si>
    <t>Francisco Cervantes</t>
  </si>
  <si>
    <t>33-1640-8478</t>
  </si>
  <si>
    <t>Cedro #1129 Col. Villas del Tapatío Tlaquepaque</t>
  </si>
  <si>
    <t>Sala 6 p t f, Senc</t>
  </si>
  <si>
    <t>140/21</t>
  </si>
  <si>
    <t>Martín Villalobos</t>
  </si>
  <si>
    <t>33-1433-1756</t>
  </si>
  <si>
    <t>Calle Los Olivos Casa #126 Coto Franco Fracc. La Moraleja Zapopan</t>
  </si>
  <si>
    <t>Colchón KS, Sofá cama ind t f Senc</t>
  </si>
  <si>
    <t>Todo muy Bien</t>
  </si>
  <si>
    <t>141/21</t>
  </si>
  <si>
    <t>Alejandro Espinosa</t>
  </si>
  <si>
    <t>33-3379-2446</t>
  </si>
  <si>
    <t>Calle Mozart #5696 Col. La Estancia Zapopan</t>
  </si>
  <si>
    <t>Primo</t>
  </si>
  <si>
    <t>Interiores Escape Tela Eco</t>
  </si>
  <si>
    <t>142/21</t>
  </si>
  <si>
    <t>Mónica Alejandra Cárdenas Cuevas</t>
  </si>
  <si>
    <t>31-2107-0764</t>
  </si>
  <si>
    <t>Av Aviación #4055 Int Salerno 24 Zapopan</t>
  </si>
  <si>
    <t>Sala 4 p t f , cojines, sillas a y r Senc</t>
  </si>
  <si>
    <t>Raúl habla con él</t>
  </si>
  <si>
    <t>Se manda WA, todo quedó muy bien</t>
  </si>
  <si>
    <t>143/21</t>
  </si>
  <si>
    <t>Jaqueline Abrego Galindo</t>
  </si>
  <si>
    <t>33-2114-7018</t>
  </si>
  <si>
    <t>Ignacio Herrera y Cairo #3080 Col. San Manuel Zapopan</t>
  </si>
  <si>
    <t>Colchón KS Eco</t>
  </si>
  <si>
    <t>144/21</t>
  </si>
  <si>
    <t>Lupita Rodriguez</t>
  </si>
  <si>
    <t>33-3058-1070</t>
  </si>
  <si>
    <t>Av de los Leones #106 Col. Bugambilias 2a secc. Zapopan</t>
  </si>
  <si>
    <t>Tapete sint  Prot PURT</t>
  </si>
  <si>
    <t>Se manda WA, todo quedó bien y el servicio fue satisfactorio</t>
  </si>
  <si>
    <t>145/21</t>
  </si>
  <si>
    <t>Felipe García</t>
  </si>
  <si>
    <t>33-1520-1851</t>
  </si>
  <si>
    <t>Residencial La Mora # 300 Casa 344 Camino a Tlajomulco</t>
  </si>
  <si>
    <t>Futón, Tapete, Cojines Prot PURT</t>
  </si>
  <si>
    <t>Arturo Ramírez</t>
  </si>
  <si>
    <t>33-3620-4416</t>
  </si>
  <si>
    <t>Paseo del Origen #600 casa 182 Coto Torrenta, Tlajomulco</t>
  </si>
  <si>
    <t>Se manda WA, quedaron muy bien</t>
  </si>
  <si>
    <t>147/21</t>
  </si>
  <si>
    <t>Rebeca Rodríguez</t>
  </si>
  <si>
    <t>33-1605-2414</t>
  </si>
  <si>
    <t>Durango #1539-A Col. Mezquitán Country</t>
  </si>
  <si>
    <t>Sofa 2 p t f, Sofa 2 p a r, Tab, Sillas a y r, Cojines dec Senc</t>
  </si>
  <si>
    <t>Se manda WA, muy buen trabajo</t>
  </si>
  <si>
    <t>148/21</t>
  </si>
  <si>
    <t>José de Jesús Mora</t>
  </si>
  <si>
    <t>33-3680-0671</t>
  </si>
  <si>
    <t>Santa Martha #50 Esq Santa Filemona Col. Santa Filemona</t>
  </si>
  <si>
    <t>149/21</t>
  </si>
  <si>
    <t>Rosa Ma. Capa</t>
  </si>
  <si>
    <t>33-1090-7004</t>
  </si>
  <si>
    <t>Nubes de Neptuno #12 Col. Glorias de Colli Zapopan</t>
  </si>
  <si>
    <t>Colchon Mat Eco</t>
  </si>
  <si>
    <t>150/21</t>
  </si>
  <si>
    <t>Norma L Medina</t>
  </si>
  <si>
    <t>33-1286-2534</t>
  </si>
  <si>
    <t>Isla Andamán #3142 Col. Jardines de la Cruz Guadalajara</t>
  </si>
  <si>
    <t>Sala 8 p t f,  sillas a, Senc</t>
  </si>
  <si>
    <t>Se manda WA, le super encantó y ya nos recomendo</t>
  </si>
  <si>
    <t>Se manda WA, le gustó mucho, ya hasta nos recomendó</t>
  </si>
  <si>
    <t>151/21</t>
  </si>
  <si>
    <t>Mari Carmen Espinosa Iñiguez</t>
  </si>
  <si>
    <t>33-1172-9599</t>
  </si>
  <si>
    <t>Hacienda La Llave #2009 Fracc Arandas Col. Oblatos Guadalajara</t>
  </si>
  <si>
    <t>Sala 6 p t f, Sillas A y r Senc</t>
  </si>
  <si>
    <t>152/21</t>
  </si>
  <si>
    <t>José Rojas/ Pablo Flores</t>
  </si>
  <si>
    <t>33-1418-3534</t>
  </si>
  <si>
    <t>Volcán Vesubio #5400 Int 23 Col. El Colli Urbano Zapopan</t>
  </si>
  <si>
    <t>Sala 6 p t f, cojines Senc,</t>
  </si>
  <si>
    <t>153/21</t>
  </si>
  <si>
    <t>Fabiola Ruiz</t>
  </si>
  <si>
    <t>33-1395-2557</t>
  </si>
  <si>
    <t>Monte Tabor #224 Col. Independencia Guadalajara</t>
  </si>
  <si>
    <t>Sofá cama Eco</t>
  </si>
  <si>
    <t>154/21</t>
  </si>
  <si>
    <t>Gemma García</t>
  </si>
  <si>
    <t>Tía</t>
  </si>
  <si>
    <t>Sillas asiento y resp Prem</t>
  </si>
  <si>
    <t>Raúl</t>
  </si>
  <si>
    <t>Estela García</t>
  </si>
  <si>
    <t>Reposet, sillas solo a Prem</t>
  </si>
  <si>
    <t>Se manda WA, muy bien</t>
  </si>
  <si>
    <t>156/21</t>
  </si>
  <si>
    <t>Fernando Díaz</t>
  </si>
  <si>
    <t>33-3453-2976</t>
  </si>
  <si>
    <t>Av del Sendero #5648 Int 1 Coto Lemán Col. Campestre, Zapopan</t>
  </si>
  <si>
    <t>Sillón 2 p t f, Colchones mat e Ind Senc</t>
  </si>
  <si>
    <t>Todo muy bien, llamará para lavar su camioneta</t>
  </si>
  <si>
    <t>157/21</t>
  </si>
  <si>
    <t>Evangelina Gutiérrez</t>
  </si>
  <si>
    <t>33-2217-5316</t>
  </si>
  <si>
    <t>Av Cruz del Sur #2704 ColJardines de la Cruz Guadalajara</t>
  </si>
  <si>
    <t>Sala 6 p a r, sillas s a Senc</t>
  </si>
  <si>
    <t>Se manda WA, excelente servicio</t>
  </si>
  <si>
    <t>Dafne Avila</t>
  </si>
  <si>
    <t>33-3106-3369</t>
  </si>
  <si>
    <t>Pintores #932 Col. Jardines de Guadalupe Zapopan</t>
  </si>
  <si>
    <t>Sala 6p t f, Tapete Senc PURT</t>
  </si>
  <si>
    <t>Se manda WA, todo muy bien, ya nos recomendo</t>
  </si>
  <si>
    <t>159/21</t>
  </si>
  <si>
    <t>Héctor Salguero</t>
  </si>
  <si>
    <t>33-1020-2223</t>
  </si>
  <si>
    <t>Paseo San Alfonso #2082 Col. Valle Real</t>
  </si>
  <si>
    <t>Interiores Audi A3 tele Eco</t>
  </si>
  <si>
    <t>160/21</t>
  </si>
  <si>
    <t>Martha Esqueda Ruvalcaba</t>
  </si>
  <si>
    <t>33-1069-3137</t>
  </si>
  <si>
    <t>Valle de Zacoalco #1823 Col. Parque Real Zapopan</t>
  </si>
  <si>
    <t>161/21</t>
  </si>
  <si>
    <t>Ma de la Luz Durán Ortega</t>
  </si>
  <si>
    <t>33-1479-4270</t>
  </si>
  <si>
    <t>Barrica #152 Coto Córdova Col. Real de Valdepeñas Zapopan</t>
  </si>
  <si>
    <t>Sillón 1 p a r, sofa cama, sillas a y r Senc</t>
  </si>
  <si>
    <t>Se manda WA Muy bien</t>
  </si>
  <si>
    <t>162/21</t>
  </si>
  <si>
    <t>María Loreto</t>
  </si>
  <si>
    <t>33-2536-3714</t>
  </si>
  <si>
    <t>Calle Río Tepalcaltepec #1580 Col Las Aguilas Zapopan</t>
  </si>
  <si>
    <t>Sala 6 p r r Eco</t>
  </si>
  <si>
    <t>163/21</t>
  </si>
  <si>
    <t>Edmundo Soto Montes</t>
  </si>
  <si>
    <t>33-3105-6029</t>
  </si>
  <si>
    <t>Jardín de las Toronjas #233 Coto 4 Col. Jardín Real Zapopan</t>
  </si>
  <si>
    <t>. El servicio bien, pero no se quitaron todas las manchas, ya le habían dichoSe manda WA</t>
  </si>
  <si>
    <t>Se manda WA, el servicio muy  satisfactorio</t>
  </si>
  <si>
    <t>Se manda WA, todo muy bien y muy satisfecha con el servicio</t>
  </si>
  <si>
    <t>164/21</t>
  </si>
  <si>
    <t>Rogelio Torres</t>
  </si>
  <si>
    <t>33-3477-8711</t>
  </si>
  <si>
    <t>Libramiento base aérea #909 cruza con Priv de Atotonilco Zapopan</t>
  </si>
  <si>
    <t>Sala 6 p t r, colchón mat Eco</t>
  </si>
  <si>
    <t>165/21</t>
  </si>
  <si>
    <t>Daniela Huerta</t>
  </si>
  <si>
    <t>33-3955-9081</t>
  </si>
  <si>
    <t>Av Bosques de San Isidro #951 Coto Fresno Casa 29 Col. Bosques de San Isidro Zapopan</t>
  </si>
  <si>
    <t>Sala 4 p a r, Sillas solo a, taburete Senc</t>
  </si>
  <si>
    <t>166/21</t>
  </si>
  <si>
    <t>Ivette Amador</t>
  </si>
  <si>
    <t>33-1409-7656</t>
  </si>
  <si>
    <t>Naciones Unidas #5030 int 8 Jardines de Universidad Zapopan</t>
  </si>
  <si>
    <t>Tapete sintetico Eco</t>
  </si>
  <si>
    <t>Les dio un 100</t>
  </si>
  <si>
    <t>167/21</t>
  </si>
  <si>
    <t>Miriam Hernández</t>
  </si>
  <si>
    <t>33-3197-2542</t>
  </si>
  <si>
    <t>Priv de Atotonilco #621 Int Calle 123 casa 1 Col. Nuevo México Zapopan</t>
  </si>
  <si>
    <t>Sala 4 p t f Senc</t>
  </si>
  <si>
    <t>168/21</t>
  </si>
  <si>
    <t>Carlos Ureña</t>
  </si>
  <si>
    <t>62-4179-1039</t>
  </si>
  <si>
    <t>Coto Toledo Casa 68 Col. Nueva Galicia Tlajomulco</t>
  </si>
  <si>
    <t>Colchón Mat Eco, PURT</t>
  </si>
  <si>
    <t>Se manda WA Les gustó mucho</t>
  </si>
  <si>
    <t>Se manda WA. Lo va a checar</t>
  </si>
  <si>
    <t>Se manda WA, lo va arevisar, se regresa a detallar, muy quisquillosa, muebles MUY SUCIOS</t>
  </si>
  <si>
    <t>Julia Rodríguez</t>
  </si>
  <si>
    <t>33-1545-4700</t>
  </si>
  <si>
    <t>Av de la Huerta #290-121 Coto Victoria Fracc Campestre Residencial Zapopan</t>
  </si>
  <si>
    <t>Sala 5 p a r, Tapete Senc</t>
  </si>
  <si>
    <t>Se manda WA, quedó muy bien, muy satisfecho con el servicio</t>
  </si>
  <si>
    <t>170/21</t>
  </si>
  <si>
    <t>Dalia Velázquez</t>
  </si>
  <si>
    <t>33-2926-5921</t>
  </si>
  <si>
    <t>Pedernal #719 Col. San Marcos Entre Pto Progreso y Pto del Carmen Gld</t>
  </si>
  <si>
    <t>Colchón Ind, Prot</t>
  </si>
  <si>
    <t>171/21</t>
  </si>
  <si>
    <t>Sherlyn Díaz Gómez</t>
  </si>
  <si>
    <t>33-2217-6843</t>
  </si>
  <si>
    <t>Calle José Ma. Morelos #635 Coto Antalia Casa 111 Col Toluquilla Tlaqu</t>
  </si>
  <si>
    <t>Sala 3 p t f, Prot, Sala 1 p t f Protex</t>
  </si>
  <si>
    <t>172/21</t>
  </si>
  <si>
    <t>Carlos Escobar</t>
  </si>
  <si>
    <t>33-3390-9989</t>
  </si>
  <si>
    <t>Av Niños Héroes #300 Int 201 Casi esq Hornos Gdl</t>
  </si>
  <si>
    <t>Colchón Mat Prot</t>
  </si>
  <si>
    <t>Se manda WA; quedo encantada, la mancha se quitó por completo</t>
  </si>
  <si>
    <t>174/21</t>
  </si>
  <si>
    <t>Marisela Sapien</t>
  </si>
  <si>
    <t>33-2835-6800</t>
  </si>
  <si>
    <t>Carr. A Nogales #9005 Km 15.3 Pinar de la Venta Zapopan</t>
  </si>
  <si>
    <t>Tapete sintetico, Healty lo llevaron</t>
  </si>
  <si>
    <t>Le gusto mucho como quedó</t>
  </si>
  <si>
    <t>175/21</t>
  </si>
  <si>
    <t>33-3612-2126</t>
  </si>
  <si>
    <t>López Mateos Sur #1710-PB02 Plaza la Gourmetería Zapopan</t>
  </si>
  <si>
    <t>Nora Díaz/ La Vaca Argentina</t>
  </si>
  <si>
    <t>Pasto sintético Eco</t>
  </si>
  <si>
    <t>Ocupado</t>
  </si>
  <si>
    <t>176/21</t>
  </si>
  <si>
    <t>Lucero Hernández</t>
  </si>
  <si>
    <t>33-2556-6019</t>
  </si>
  <si>
    <t>Calle Santa Paula #389 Col. Santa Margarita Zapopan</t>
  </si>
  <si>
    <t>Sala 6 p t f, sillas a y r Senc</t>
  </si>
  <si>
    <t>Jessica Vargas</t>
  </si>
  <si>
    <t>33-1006-9492</t>
  </si>
  <si>
    <t>Durero #5075 Entre Goya y Miguel Angel Col. Real Vallarta La Estancia Zapopan</t>
  </si>
  <si>
    <t xml:space="preserve">Se manda WA, no contesta </t>
  </si>
  <si>
    <t>Se manda WA, esperaba mas…</t>
  </si>
  <si>
    <t>178/21</t>
  </si>
  <si>
    <t>Patricia Solórzano</t>
  </si>
  <si>
    <t>33-3555-4256</t>
  </si>
  <si>
    <t>Antiguo camino a Tesistán #29 esq Av Calixto Coto Vista Nte Res. Int Av Gmo Mtz Mora #2029 Edif 72-A</t>
  </si>
  <si>
    <t>Sala 2 p t f, tab Prot</t>
  </si>
  <si>
    <t>Se manda WAQuedó sucia</t>
  </si>
  <si>
    <t>179/21</t>
  </si>
  <si>
    <t>33-1289-7784</t>
  </si>
  <si>
    <t>Rio Hondo #8 Col. El vergel Tlaquepaque</t>
  </si>
  <si>
    <t>180/21</t>
  </si>
  <si>
    <t xml:space="preserve">Silvia Rodriguez </t>
  </si>
  <si>
    <t>33-1313-9382</t>
  </si>
  <si>
    <t>Paseo de los Virreyes #871 int B8 Col. Virreyes Residencial Zapopan</t>
  </si>
  <si>
    <t>Sala 6 p t f, futón Senc</t>
  </si>
  <si>
    <t>181/21</t>
  </si>
  <si>
    <t>Celia Pérez del Angel</t>
  </si>
  <si>
    <t>33-3720-1845</t>
  </si>
  <si>
    <t>Valle de Zapopan #831-2 Col Valle de los Molinos Zapopan</t>
  </si>
  <si>
    <t>Quedó muy bien y servicio de buena calidad</t>
  </si>
  <si>
    <t>182/21</t>
  </si>
  <si>
    <t>Cristina Bautista</t>
  </si>
  <si>
    <t>33-1157-8580</t>
  </si>
  <si>
    <t>Calle Frias #1048 Col. Mezquitán Contry Guadalajara</t>
  </si>
  <si>
    <t>Interiores de tacoma Prem</t>
  </si>
  <si>
    <t>20/21,183/21</t>
  </si>
  <si>
    <t>Sofa t r, taburete, Sala t f, Tapete sintetico Eco, PURT</t>
  </si>
  <si>
    <t>No contesta, se manda WA, repite</t>
  </si>
  <si>
    <t>Viridiana Castellanos</t>
  </si>
  <si>
    <t>33-1553-7699</t>
  </si>
  <si>
    <t>Armadura Oriente #158 Coto II Col. Jardín Real Zapopan</t>
  </si>
  <si>
    <t>Tapete Prot, PURT</t>
  </si>
  <si>
    <t>33-1667-8659</t>
  </si>
  <si>
    <t>La Cima Coto B Casa 85 Col. Valle Imperial Zapopan</t>
  </si>
  <si>
    <t>186/21</t>
  </si>
  <si>
    <t>Ivonne Corona</t>
  </si>
  <si>
    <t>33-3493-8137</t>
  </si>
  <si>
    <t>Juan de Dios Robledo #606 Col. Las Huertas Baeza Guadalaljara</t>
  </si>
  <si>
    <t>Sala 4 p t r, Sillas a y Banca Senc</t>
  </si>
  <si>
    <t>Joanna Flores</t>
  </si>
  <si>
    <t>33-1451-6354</t>
  </si>
  <si>
    <t>Villa Júarez #1701 Casa 28 Zapopan</t>
  </si>
  <si>
    <t>Sala 5 p t f, Senc</t>
  </si>
  <si>
    <t>158/21, 189/21</t>
  </si>
  <si>
    <t>190/21</t>
  </si>
  <si>
    <t>Catalina Ávila</t>
  </si>
  <si>
    <t>33-1195-3025</t>
  </si>
  <si>
    <t>Paseo Solares #1632 Int 82 Col. Solares, Zapopan</t>
  </si>
  <si>
    <t>Sillas a y r Prem</t>
  </si>
  <si>
    <t>Se manda WA, no contestó</t>
  </si>
  <si>
    <t>Se manda WA, no contesto</t>
  </si>
  <si>
    <t>Se manda WA, quedó muy bien, le gustó mucho</t>
  </si>
  <si>
    <t>Se manda WA, no conrtesta</t>
  </si>
  <si>
    <t>Se manda WA, quedaron oscuras de los laterales</t>
  </si>
  <si>
    <t>Laura García</t>
  </si>
  <si>
    <t>33-3440-0618</t>
  </si>
  <si>
    <t>Av. Naciones Unidas #7500 Casa 94 Fracc Los Castaños Zapopan</t>
  </si>
  <si>
    <t>192/21</t>
  </si>
  <si>
    <t>Jessica Famoso</t>
  </si>
  <si>
    <t>33-1345-7068</t>
  </si>
  <si>
    <t>Andador Norte D 1376 Conj Hab Laureles Zapopan</t>
  </si>
  <si>
    <t>Colchón QS, Sillón 2 p, antiacaros, Prem, Sofá de piel</t>
  </si>
  <si>
    <t>Quedó satisfecha, pero al colchón se le ve una mancha</t>
  </si>
  <si>
    <t>193/21</t>
  </si>
  <si>
    <t>Javier Rosales</t>
  </si>
  <si>
    <t>33-1918-4340</t>
  </si>
  <si>
    <t>Juan Palomar y Arias #930 Casa 62 Coto Puerta del Roble Col. Jardines Universidad Zapopan</t>
  </si>
  <si>
    <t>Reposet Prem</t>
  </si>
  <si>
    <t>Se manda WA, muy satisfecha</t>
  </si>
  <si>
    <t>194/21</t>
  </si>
  <si>
    <t>Erika González</t>
  </si>
  <si>
    <t>33-2834-8006</t>
  </si>
  <si>
    <t>Juan Ruiz Colmenero #1609 Col. Guadalupana Guadalajara</t>
  </si>
  <si>
    <t>Coche vest Piel, Repose Prem</t>
  </si>
  <si>
    <t>El repset muy bien, el coche quedo mojado de la alfombra,super problemática</t>
  </si>
  <si>
    <t>195/21</t>
  </si>
  <si>
    <t>Daniela Sherman</t>
  </si>
  <si>
    <t>33-1318-0539</t>
  </si>
  <si>
    <t>Federalistas #1010 Fracc Real del Bosque Zapopan</t>
  </si>
  <si>
    <t>Tapete Healty</t>
  </si>
  <si>
    <t>196/21</t>
  </si>
  <si>
    <t>Nancy Romero</t>
  </si>
  <si>
    <t>33-3186-0913</t>
  </si>
  <si>
    <t>San Francisco #365 Col. Providencia Tonala</t>
  </si>
  <si>
    <t>Futón, Colchón Mat, Tapete, Cojines Prot</t>
  </si>
  <si>
    <t>197/21</t>
  </si>
  <si>
    <t>Karina Ramos</t>
  </si>
  <si>
    <t>33-2506-5357</t>
  </si>
  <si>
    <t>Barreiro #858 Col. Autocinema Guadalajara</t>
  </si>
  <si>
    <t>198/21</t>
  </si>
  <si>
    <t>Antonio Omar García</t>
  </si>
  <si>
    <t>33-2455-3561</t>
  </si>
  <si>
    <t>circ. San Miguel #225 Col. Hac. San Miguel Tlajomulco</t>
  </si>
  <si>
    <t>Interiores Tsuru Senc</t>
  </si>
  <si>
    <t>Enrique Montalvo</t>
  </si>
  <si>
    <t>33-1974-9071</t>
  </si>
  <si>
    <t>Puerto San Blas #1386 Col. Miramar Zapopan</t>
  </si>
  <si>
    <t>Sala 6 p t f Senc, Tapetes Eco</t>
  </si>
  <si>
    <t>Quiere repetir</t>
  </si>
  <si>
    <t>Se manda WA, le gusto</t>
  </si>
  <si>
    <t>200/21</t>
  </si>
  <si>
    <t>Ma Teresa Cuevas</t>
  </si>
  <si>
    <t>33-1409-0828</t>
  </si>
  <si>
    <t>Paseo San Arturo Poniente #405 Col. Valle Real Zapopan</t>
  </si>
  <si>
    <t>Se queja del precio, por que se le dio menos x medidas</t>
  </si>
  <si>
    <t>201/21</t>
  </si>
  <si>
    <t>Hugo Rubalcaba</t>
  </si>
  <si>
    <t>33-3960-8056</t>
  </si>
  <si>
    <t>Coronel Calderón #639 Int 6 Col. El retiro Guadalajara</t>
  </si>
  <si>
    <t>Sillón 2 p t f, Prem, PURT</t>
  </si>
  <si>
    <t>Se manda WA, todo perfecto</t>
  </si>
  <si>
    <t>Brenda Vega</t>
  </si>
  <si>
    <t>33-1067-7974</t>
  </si>
  <si>
    <t>Tepeyac #4850 casa 112 Coto Los Olivos, Zapopan</t>
  </si>
  <si>
    <t>Sala 4 p r r Prot</t>
  </si>
  <si>
    <t>Clienta sangrona</t>
  </si>
  <si>
    <t>203/21</t>
  </si>
  <si>
    <t>Ramiro Alvarez</t>
  </si>
  <si>
    <t>33-1097-3706</t>
  </si>
  <si>
    <t>Calle Misión San Felipe Torre 9A Depto 3 Col. Plaza Gpe Zapopan</t>
  </si>
  <si>
    <t>Sala 5 p r r Eco</t>
  </si>
  <si>
    <t>204/21</t>
  </si>
  <si>
    <t>205/21</t>
  </si>
  <si>
    <t>Grupo Kantesa/Fernanda González</t>
  </si>
  <si>
    <t>compras@vectro.com.mx</t>
  </si>
  <si>
    <t>Av Guadalupe #4059 Col. Ciudad de los Niños Zapopan</t>
  </si>
  <si>
    <t>27 sillas secretariales Senc</t>
  </si>
  <si>
    <t>206/21</t>
  </si>
  <si>
    <t>33-3968-3777</t>
  </si>
  <si>
    <t>Roberto Marrufo</t>
  </si>
  <si>
    <t>Anáhuac #237 Col. Ciudad del Sol Zapopan</t>
  </si>
  <si>
    <t>Colchón Ind Senc</t>
  </si>
  <si>
    <t>207/21</t>
  </si>
  <si>
    <t>Fernando López</t>
  </si>
  <si>
    <t>33-1273-3558</t>
  </si>
  <si>
    <t>Castilla de la Mancha#10 int 7 Col. Real de Valdepeñas Zapopan</t>
  </si>
  <si>
    <t>Interior de Sentra y Fluence Senc</t>
  </si>
  <si>
    <t>Se manda Mail, todo quedo super bien</t>
  </si>
  <si>
    <t>Se manda WA, muy satisfecho</t>
  </si>
  <si>
    <t>177/21,208/21</t>
  </si>
  <si>
    <t>Tapetes Sint Eco PURT, extraccion</t>
  </si>
  <si>
    <t>209/21</t>
  </si>
  <si>
    <t>Gabriel Gonzalo Gaona Portilla</t>
  </si>
  <si>
    <t>279-111-2729</t>
  </si>
  <si>
    <t>Calle Orquídea #1521 A Col. La Florida Zapopan</t>
  </si>
  <si>
    <t>Colchón Ind Healty</t>
  </si>
  <si>
    <t>210/21</t>
  </si>
  <si>
    <t>Guadalupe Ruiz Velazco</t>
  </si>
  <si>
    <t>33-2646-0008</t>
  </si>
  <si>
    <t>Ursula García #5046 Col. Arcos de Guadalupe Zapopan</t>
  </si>
  <si>
    <t>Sala 4 p t f, sillón 3 p t f, Sillón 1 p a r, sillón 1 p t f, Sala 5 p t f, Prot</t>
  </si>
  <si>
    <t>Se manda WA, quedó muy bien y el servico excelente</t>
  </si>
  <si>
    <t>Se manda WA, todo muy bien, excelente servico</t>
  </si>
  <si>
    <t>199/21, 211/21</t>
  </si>
  <si>
    <t>Se manda WA, quedaron limpios y quedó satisfecha</t>
  </si>
  <si>
    <t>Brenda Cortés</t>
  </si>
  <si>
    <t>33-1824-3033</t>
  </si>
  <si>
    <t>Av Juan Gil Preciado #6640 Casa #2 Coto Residencial Valle Norte Zapopan</t>
  </si>
  <si>
    <t>213/21</t>
  </si>
  <si>
    <t>Julio Arroyo</t>
  </si>
  <si>
    <t>33-3269-5008</t>
  </si>
  <si>
    <t>Av. Naciones Unidas #6421 Int 3 Col. Res Virreyes Zapopan</t>
  </si>
  <si>
    <t>Tapete sint Healty</t>
  </si>
  <si>
    <t>Se manda WA, todo muy bien, repite</t>
  </si>
  <si>
    <t>214/21</t>
  </si>
  <si>
    <t>Ma Mercedes De la Cruz</t>
  </si>
  <si>
    <t>33-2454-2404</t>
  </si>
  <si>
    <t>Chancanab #1522 Col. Santa Catalina Zapopan</t>
  </si>
  <si>
    <t>Sala 6 p r r, sillas A y r Eco</t>
  </si>
  <si>
    <t>Ma Angeles Espriella</t>
  </si>
  <si>
    <t>33-3140-7051</t>
  </si>
  <si>
    <t>Av Patria #278 Int 303 Col. Jardines Universidad Zapopan</t>
  </si>
  <si>
    <t>Sala 5 p t f, Prot</t>
  </si>
  <si>
    <t>215/21</t>
  </si>
  <si>
    <t>216/21</t>
  </si>
  <si>
    <t>Adriana García/Alejandro Leyva</t>
  </si>
  <si>
    <t>61-2156-8792</t>
  </si>
  <si>
    <t>Av Novelistas #5646 Int 119 Esq. Juan Palomar y Arias Zapoapan</t>
  </si>
  <si>
    <t>Sala en L t f, Sillas a y r, Banca, Cojines Prem</t>
  </si>
  <si>
    <t>Super Bien</t>
  </si>
  <si>
    <t>Se manda WA,  no contresta</t>
  </si>
  <si>
    <t>04/21,217/21</t>
  </si>
  <si>
    <t>Todo bien, repite</t>
  </si>
  <si>
    <t>218/21</t>
  </si>
  <si>
    <t>Juan Jorge Mejía</t>
  </si>
  <si>
    <t>66-7390-5414</t>
  </si>
  <si>
    <t>Calle Prol Jesús #3841 Int B 214 Col. Jardines del Valle Zapoapn</t>
  </si>
  <si>
    <t>Sala de piel, Tapetes Sint Healty PURT</t>
  </si>
  <si>
    <t>219/21</t>
  </si>
  <si>
    <t>René Garibay Fuentes</t>
  </si>
  <si>
    <t>55-1991-2470</t>
  </si>
  <si>
    <t>Av Patria #3697 Col. Residencial El Tapatío Tlaquepaque</t>
  </si>
  <si>
    <t>Colchón KS Senc Cabecera Prot</t>
  </si>
  <si>
    <t>220/21</t>
  </si>
  <si>
    <t>221/21</t>
  </si>
  <si>
    <t>Victor Sáncehz Pérez</t>
  </si>
  <si>
    <t>33-2833-8290</t>
  </si>
  <si>
    <t>Volcán Sahama #4901 Edif A Depto 12 Col. Panorámica de Huentitán Gdl</t>
  </si>
  <si>
    <t>Sala 8 p r r Senc</t>
  </si>
  <si>
    <t>Juan Carlos Alonso</t>
  </si>
  <si>
    <t>33-1069-8819</t>
  </si>
  <si>
    <t>Av Río Blanco #1171 Col Parques de Tesistán Zapopan</t>
  </si>
  <si>
    <t>Sala 5 p r r, Sillón 3 p t f Senc</t>
  </si>
  <si>
    <t>, todo muy bien, excelente servicio</t>
  </si>
  <si>
    <t>212/21, 222/21</t>
  </si>
  <si>
    <t>Sala 3 p r r, mueble de abaj Prot, teflón sillas a y r</t>
  </si>
  <si>
    <t>Se manda WA, completamente satisfecho</t>
  </si>
  <si>
    <t>223/21</t>
  </si>
  <si>
    <t>Miguel Angel Rodriguez</t>
  </si>
  <si>
    <t>33-1076-5688</t>
  </si>
  <si>
    <t>Antonio Alvarez Esparza #199 Col. Las liebres Tlaquepaque</t>
  </si>
  <si>
    <t xml:space="preserve">Colchón Ind, 1/2 ind, Senc, Mat Prot </t>
  </si>
  <si>
    <t>Ma Ofelia Salgado Medina</t>
  </si>
  <si>
    <t>33-3007-0533</t>
  </si>
  <si>
    <t>225/21</t>
  </si>
  <si>
    <t>Fernanda Santos</t>
  </si>
  <si>
    <t>33-1761-5948</t>
  </si>
  <si>
    <t>Carr a San Esteban #527 Col. San Isidro Zapopan</t>
  </si>
  <si>
    <t>Sala 5 p, r r, siilas a y r, sillón 1 p t f, Carriola y porta bebe Senc</t>
  </si>
  <si>
    <t>226/21</t>
  </si>
  <si>
    <t>Gloria Gutiérrez</t>
  </si>
  <si>
    <t>33-1266-1408</t>
  </si>
  <si>
    <t>Calamar #2917 Col. Loma Bonita Sur Zapopan</t>
  </si>
  <si>
    <t>Saliias a y r, Tapete sint, Prot</t>
  </si>
  <si>
    <t>227/21</t>
  </si>
  <si>
    <t>Ma de Lourdes Baltazar</t>
  </si>
  <si>
    <t>33-3457-3496</t>
  </si>
  <si>
    <t>Loma Tancítaro Sur #8583 Col. Loma Dorada Tonalá</t>
  </si>
  <si>
    <t>Sala 5 p r r, futón, tapete sint Eco, Sillas a y r Senc</t>
  </si>
  <si>
    <t>228/21</t>
  </si>
  <si>
    <t>Green Carrier/Eric Monzon</t>
  </si>
  <si>
    <t>83-3384-4026</t>
  </si>
  <si>
    <t>Av Patria #179 Int 504 Col. Prados de Guadalupe Zapopan</t>
  </si>
  <si>
    <t>Sillón 3 p t f, sillas secretariales Senc</t>
  </si>
  <si>
    <t>229/21</t>
  </si>
  <si>
    <t>Paola Cuevas</t>
  </si>
  <si>
    <t>33-3956-7191</t>
  </si>
  <si>
    <t>Castellanos #6258 Int 5 Col. Villas Vallarta Zapopan</t>
  </si>
  <si>
    <t>Sala 4 p t f Eco</t>
  </si>
  <si>
    <t>230/21</t>
  </si>
  <si>
    <t>Manuel Lozoya</t>
  </si>
  <si>
    <t>Aldebarán #4229 Fracc Arboledas 4507 Int 11 Zapopan</t>
  </si>
  <si>
    <t>No hay Num</t>
  </si>
  <si>
    <t>Se manda WA, todo excelete</t>
  </si>
  <si>
    <t>Se manda WA, si fue saisfactorio</t>
  </si>
  <si>
    <t>Se manda WA, lo iba a checar</t>
  </si>
  <si>
    <t>231/21</t>
  </si>
  <si>
    <t>ma Luisa Martínez</t>
  </si>
  <si>
    <t>33-1118-1187</t>
  </si>
  <si>
    <t>Bahía Quino #3457 Col. Miramar Zapopan</t>
  </si>
  <si>
    <t>Sala 4 p r r, futón, Cojines Senc</t>
  </si>
  <si>
    <t>232/21</t>
  </si>
  <si>
    <t>Raúl Martínez</t>
  </si>
  <si>
    <t>80-1577-4553</t>
  </si>
  <si>
    <t>Av Aurora Boreal #801 Int 39 Col. Paseo de los Agaves Tlajomulco</t>
  </si>
  <si>
    <t>Colchón QS, Eco, Vest de tela de Sentra Senc</t>
  </si>
  <si>
    <t>se manda WA, todo excelente</t>
  </si>
  <si>
    <t>233/21</t>
  </si>
  <si>
    <t>Ma de los Angeles Vazquez</t>
  </si>
  <si>
    <t>722-523-4566</t>
  </si>
  <si>
    <t>Sala 12 p t f, Eco</t>
  </si>
  <si>
    <t>Se manda WA, el colchón perfecto, el auto con mal olor</t>
  </si>
  <si>
    <t>234/21</t>
  </si>
  <si>
    <t>Oscar Velasco</t>
  </si>
  <si>
    <t>33-1456-7536</t>
  </si>
  <si>
    <t>Av. Fco. I Madero #6085 Int 7 Coto1 Col. Jocotlán Zapopan</t>
  </si>
  <si>
    <t>Interior Gol tela, carriola y porta bebe, Eco</t>
  </si>
  <si>
    <t>Se mada WA, todo muy bien</t>
  </si>
  <si>
    <t>191/21, 235/21</t>
  </si>
  <si>
    <t>Sala esquina y sillon 2 p a r, tapete Senc, tapete de lana senc</t>
  </si>
  <si>
    <t>236/21</t>
  </si>
  <si>
    <t>Ma Fernanda Pérez Alonso</t>
  </si>
  <si>
    <t>33-2114-3566</t>
  </si>
  <si>
    <t>Sirio #3345-A #3 Col. La Calma Zapopan</t>
  </si>
  <si>
    <t>Tapete, colchoneta Prem, Extracción</t>
  </si>
  <si>
    <t>237/21</t>
  </si>
  <si>
    <t>CB Empaques/ Julián Casas</t>
  </si>
  <si>
    <t>33-3326-4202</t>
  </si>
  <si>
    <t>Calle 5 de Mayo # 6850 Int 11 y 12 Col. San Juan de Ocotán Zapopan</t>
  </si>
  <si>
    <t>Sillas secretariales, Eco y sillon ejectivo Eco</t>
  </si>
  <si>
    <t>238/21</t>
  </si>
  <si>
    <t>Claudia Bolaños</t>
  </si>
  <si>
    <t>33-1260-1666</t>
  </si>
  <si>
    <t>Av Niño Obrero #632 PB Col Chapailita Zapopan</t>
  </si>
  <si>
    <t>239/21</t>
  </si>
  <si>
    <t>Nora Alicia Gómez</t>
  </si>
  <si>
    <t>33-1804-7140</t>
  </si>
  <si>
    <t>Hda del Rincón de la Cañada #98 Fracc Vista Hermosa Tlaquepaque</t>
  </si>
  <si>
    <t>Colchón QS, Prem</t>
  </si>
  <si>
    <t>240/21</t>
  </si>
  <si>
    <t>Aurora Martínez Baéz</t>
  </si>
  <si>
    <t>33-3968-3148</t>
  </si>
  <si>
    <t>Diamante #2836-208 Col Valle Verde Guadalajara</t>
  </si>
  <si>
    <t>Sillas tipo sillón  Prot</t>
  </si>
  <si>
    <t>José Alfredo Machado</t>
  </si>
  <si>
    <t>33-1781-9196</t>
  </si>
  <si>
    <t>Fray Fco. Palou #544 int 29 Col Parques Tesistán Zapopan</t>
  </si>
  <si>
    <t>Sala 5 o t f, Senc</t>
  </si>
  <si>
    <t>se manda WA, todo excelente y satisfecho al 100</t>
  </si>
  <si>
    <t>Se manfda WA, les encantó</t>
  </si>
  <si>
    <t>Se Manda WA, quedó muy bien</t>
  </si>
  <si>
    <t>Se manda WA, de lo mejor</t>
  </si>
  <si>
    <t>241/21</t>
  </si>
  <si>
    <t>242/21</t>
  </si>
  <si>
    <t>243/21</t>
  </si>
  <si>
    <t>244/21</t>
  </si>
  <si>
    <t>245/21</t>
  </si>
  <si>
    <t>Armando Chávez</t>
  </si>
  <si>
    <t>722-295-6971</t>
  </si>
  <si>
    <t>Rinconada del cerezo #3585 Col. Rinconada de Santa Rita Int B Zapopan</t>
  </si>
  <si>
    <t>Tapete Sint, Cojines 30x30 Prem</t>
  </si>
  <si>
    <t>Le encantó, repetira, y nos recomendará</t>
  </si>
  <si>
    <t>Osmar Yahir Martínez Mariscal</t>
  </si>
  <si>
    <t>33-1711-2306</t>
  </si>
  <si>
    <t>San Juan Evangelista #4203 Int 1 Col Lomas de San Miguel Tlaquepaque</t>
  </si>
  <si>
    <t>Futón Senc PURT</t>
  </si>
  <si>
    <t>Laura Llamas</t>
  </si>
  <si>
    <t>33-2624-8567</t>
  </si>
  <si>
    <t>Pedro Gómez Maraver #870 Col Alcalde Barranquitas Guadalajara</t>
  </si>
  <si>
    <t>Sala 4 p r r Senc</t>
  </si>
  <si>
    <t>Condominio La Cima/José de Jesús Valencia/ Karla Luemo</t>
  </si>
  <si>
    <t>33-3832-1215</t>
  </si>
  <si>
    <t>Av Cima Real #100 Col Toscana Zapopan</t>
  </si>
  <si>
    <t>Se manda WA, muy satisfactorio</t>
  </si>
  <si>
    <t>les gustó solicitan cot para reposet</t>
  </si>
  <si>
    <t>Sergio González/Angeles de Alba</t>
  </si>
  <si>
    <t>Tapete Prem PURT, Sala 6 p r r, Cojines peq y grandes, Sillas a y r Senc</t>
  </si>
  <si>
    <t>247/21</t>
  </si>
  <si>
    <t>Wendy Muñoz/Tony</t>
  </si>
  <si>
    <t>33-1893-1052</t>
  </si>
  <si>
    <t>Vaña Jabalón #36 Col Real de Valdepeñas Zapopan</t>
  </si>
  <si>
    <t>Love seat a y r, Colchón Mat, Chise Lounge, Tapete sint Prem, PURT</t>
  </si>
  <si>
    <t>Cliente problemática, secretario MUY agardable</t>
  </si>
  <si>
    <t>133/21,248/21</t>
  </si>
  <si>
    <t>Tapete Healty PURT, Sala 9 p t r Prot</t>
  </si>
  <si>
    <t>249/21</t>
  </si>
  <si>
    <t>Fernanda Zúñga/Jorge Payán</t>
  </si>
  <si>
    <t>33-3218-5186</t>
  </si>
  <si>
    <t>Jardines de Santa Lucía #73 Coto Bizantino Valle Imperial Zapopan</t>
  </si>
  <si>
    <t>Tapetes Prem PURT</t>
  </si>
  <si>
    <t>Se manda WA, quedaron muy bien, excelete servicio</t>
  </si>
  <si>
    <t>250/21</t>
  </si>
  <si>
    <t>Brenda Véjar</t>
  </si>
  <si>
    <t>33-1182-2755</t>
  </si>
  <si>
    <t>Circ Berilio #28-1 Col. Valle de los Molinos Zapopan</t>
  </si>
  <si>
    <t>Sala 5 o r r, sillas a y r Senc</t>
  </si>
  <si>
    <t>251/21</t>
  </si>
  <si>
    <t>Gladys Ahumada</t>
  </si>
  <si>
    <t>33-1411-5995</t>
  </si>
  <si>
    <t>Fco. I Madero #671 casa 79 Col. Santa Anita Tlaquepaque</t>
  </si>
  <si>
    <t>Sala 6 p t f, Colchon mat, Ind Senc</t>
  </si>
  <si>
    <t>252/21</t>
  </si>
  <si>
    <t>Mario Becerril</t>
  </si>
  <si>
    <t>55-1473-1680</t>
  </si>
  <si>
    <t>Córdova #2619 Depsto 6 Col. Providencia 3a Secc Zapopan</t>
  </si>
  <si>
    <t>Sala 3 p t f, cojines Prem</t>
  </si>
  <si>
    <t>Se manda WA, quedaron bien</t>
  </si>
  <si>
    <t>107/21,253/21</t>
  </si>
  <si>
    <t>254/21</t>
  </si>
  <si>
    <t>66-7105-9668</t>
  </si>
  <si>
    <t>Montemorelos #3400 Depto 008 D PB Deptos Life Rinc La Calma Zapopan</t>
  </si>
  <si>
    <t>Colchón Mat, Piecera y cabecera, Sala 4 p t f, Cojines, Banca, Tapete Senc</t>
  </si>
  <si>
    <t>Se manda WA, no los ha checado, aun están enrollados</t>
  </si>
  <si>
    <t>255/21</t>
  </si>
  <si>
    <t>Alfonso Miranda</t>
  </si>
  <si>
    <t>33-1893-4308</t>
  </si>
  <si>
    <t>Av agrícola #3237 int 78 Col. Parques del Bosque Coto Cedros Tlaquepaque</t>
  </si>
  <si>
    <t>Sala 6 p t f, Sillas a y r, Sillas Secre, Reposet, Futón, Colchón QS, Sillón 1 p t f Prem, lavado piso cochera</t>
  </si>
  <si>
    <t>Todo quedó muy bien</t>
  </si>
  <si>
    <t>256/21</t>
  </si>
  <si>
    <t>Lucy Martín del Campo</t>
  </si>
  <si>
    <t>33-1544-2095</t>
  </si>
  <si>
    <t>Av Guadalupe #5058 Int 4 Col. Jardínes de Gpe, Guadalajara</t>
  </si>
  <si>
    <t>maristas</t>
  </si>
  <si>
    <t>Sala 2 p t r, taburete, colchón KS, Eco, Sanitizacion</t>
  </si>
  <si>
    <t>Muy bien, nos recomendara</t>
  </si>
  <si>
    <t>257/21</t>
  </si>
  <si>
    <t>Karla Yazmín Muro</t>
  </si>
  <si>
    <t>33-1229-3562</t>
  </si>
  <si>
    <t>Paseo de Secoyas #1287 Col. Tabachines Zapopan</t>
  </si>
  <si>
    <t>Colchón KS, Ind, PURT</t>
  </si>
  <si>
    <t>258/21</t>
  </si>
  <si>
    <t>Martha Salas</t>
  </si>
  <si>
    <t>33-3171-7294</t>
  </si>
  <si>
    <t>Calle La Rioja #3102 Col. Colomos Providencia Guadalajara</t>
  </si>
  <si>
    <t>Tapete Prem, PURT</t>
  </si>
  <si>
    <t>259/21</t>
  </si>
  <si>
    <t>Pamela Troncoso</t>
  </si>
  <si>
    <t>33-3167-0653</t>
  </si>
  <si>
    <t>Agua Azul #2525 int 13 Col. El Campanario Tlajomulco</t>
  </si>
  <si>
    <t>Tapete Senc PURT</t>
  </si>
  <si>
    <t>Le encantó, se impresiono, que ya no había manchas</t>
  </si>
  <si>
    <t>260/21</t>
  </si>
  <si>
    <t>Ernesto Peña/ Mariana Peña</t>
  </si>
  <si>
    <t>33-3815-1356</t>
  </si>
  <si>
    <t>Paseo de las Flores #175 int 33 Col, Villa de los Jazmines Zapopan</t>
  </si>
  <si>
    <t>Sala 6 p a r, Prot</t>
  </si>
  <si>
    <t>Le pregunta a su hermano y avisa</t>
  </si>
  <si>
    <t>261/21</t>
  </si>
  <si>
    <t>Araceli Mora Zepeda</t>
  </si>
  <si>
    <t>33-1082-6277</t>
  </si>
  <si>
    <t>Gustavo Huep Bobadilla #261 int 6 Col. Parques de la Victoria Tlaquepaque</t>
  </si>
  <si>
    <t>Tapete sint Prem, PURT y Gasto de viaje</t>
  </si>
  <si>
    <t>No se llama, ya que esta MUY lejis</t>
  </si>
  <si>
    <t>Se manda WA, todo muy bien, muy satisfechos</t>
  </si>
  <si>
    <t>263/21</t>
  </si>
  <si>
    <t>Hugo Hurtado</t>
  </si>
  <si>
    <t>66-7460-3526</t>
  </si>
  <si>
    <t>Calle 5 de Mayo #8 Col. El Briseño Zapopan</t>
  </si>
  <si>
    <t>Alfombra, Sala 6 p t f, Eco</t>
  </si>
  <si>
    <t>se manda WA, todo muy bien y limpio</t>
  </si>
  <si>
    <t>264/21</t>
  </si>
  <si>
    <t>José Vázquez</t>
  </si>
  <si>
    <t>33-3922-7112</t>
  </si>
  <si>
    <t>oviedo #9 Col. Fracc Real de Navarra, Tlajomulco</t>
  </si>
  <si>
    <t>Sala 5 p a r, sillas a y r Senc</t>
  </si>
  <si>
    <t>Se manda WA, quedaron manchas, se veranbruja ventajosa</t>
  </si>
  <si>
    <t>17/21, 265/21</t>
  </si>
  <si>
    <t>56/21,266/21</t>
  </si>
  <si>
    <t>267/21</t>
  </si>
  <si>
    <t>Lucy Llanos</t>
  </si>
  <si>
    <t>33-3199-7435</t>
  </si>
  <si>
    <t>Mar Egeo #1442 Depto 403 Col. Country Club Torre Cavalia Zapopan</t>
  </si>
  <si>
    <t>Sala 5 p t f, torre de gatos Prot</t>
  </si>
  <si>
    <t>Se manda WA, todo muy bien, si se nota la diferencia</t>
  </si>
  <si>
    <t>Se manda WA, Excelente, les encantó</t>
  </si>
  <si>
    <t>268/21</t>
  </si>
  <si>
    <t>Verónica Pérez</t>
  </si>
  <si>
    <t>55-2510-8200</t>
  </si>
  <si>
    <t>Av de la Mancha #193 Casa 179 Col. La Cima Zapopan</t>
  </si>
  <si>
    <t>Sala 6 p a r, sillas a y r Senc</t>
  </si>
  <si>
    <t>269/21</t>
  </si>
  <si>
    <t>Jesús Martínez/ Emmanuel Huerta</t>
  </si>
  <si>
    <t>33-1244-4573</t>
  </si>
  <si>
    <t>Calle Eje Central #5369 Cerr Del Capetillo Casa R2 Zapopan</t>
  </si>
  <si>
    <t>Colchones mat y KS Prem</t>
  </si>
  <si>
    <t>Se manda WA, le gustó</t>
  </si>
  <si>
    <t>270/21</t>
  </si>
  <si>
    <t>Marco López</t>
  </si>
  <si>
    <t>33-2493-0592</t>
  </si>
  <si>
    <t>Cerrada de Alcatráz #2370 Bugambilias Zapopan</t>
  </si>
  <si>
    <t>Alfombra, Tapete Eco</t>
  </si>
  <si>
    <t>271/21</t>
  </si>
  <si>
    <t>Carmen Sánchez</t>
  </si>
  <si>
    <t>55-7956-8568</t>
  </si>
  <si>
    <t>Montreal #1669-3 Col. Providencia Zapopan</t>
  </si>
  <si>
    <t>Sala 10 p a r Senc</t>
  </si>
  <si>
    <t>Se manda WA, parece que todo bien</t>
  </si>
  <si>
    <t>272/21</t>
  </si>
  <si>
    <t>Aideé Gómez</t>
  </si>
  <si>
    <t>33-2834-2894</t>
  </si>
  <si>
    <t>Calle San Martín #290 Col. Guadalupana, Tlaquepaque</t>
  </si>
  <si>
    <t>Sala 6 p t f, Colchones Mat, KS</t>
  </si>
  <si>
    <t>273/21</t>
  </si>
  <si>
    <t>Jorge Omar Orozco</t>
  </si>
  <si>
    <t>33-3721-9482</t>
  </si>
  <si>
    <t>Calle Ruperto Maldonado #374 Col. Alcalde Barranquitas Guadalajara</t>
  </si>
  <si>
    <t>Colchones Mat Eco</t>
  </si>
  <si>
    <t>Se manda WA, le gustó mucho</t>
  </si>
  <si>
    <t>Se manda WA, le gustó mucho y el servicio super</t>
  </si>
  <si>
    <t>274/21</t>
  </si>
  <si>
    <t>Claudio Testa</t>
  </si>
  <si>
    <t>33-1043-1829</t>
  </si>
  <si>
    <t>Calle Cometa # 2821 Entre Astros y Firmamento Guadalajara</t>
  </si>
  <si>
    <t>Sala 5 p t f, silas a y r, Sillas a, Cojines, tabutere, Banca Prem</t>
  </si>
  <si>
    <t>275/21</t>
  </si>
  <si>
    <t>Gloria Gonzále</t>
  </si>
  <si>
    <t>33-3629-7798</t>
  </si>
  <si>
    <t>Edgar Alan Poe #151 Jardines Vallarta Zapopan</t>
  </si>
  <si>
    <t>Tapete sin, Sala 6 p a r Coj Decora Prot</t>
  </si>
  <si>
    <t>276/21</t>
  </si>
  <si>
    <t>Fernando Alcaráz INNA</t>
  </si>
  <si>
    <t>33-2927-9494</t>
  </si>
  <si>
    <t>General Prim #184 Zapopan</t>
  </si>
  <si>
    <t>Sillas secretariales Prem</t>
  </si>
  <si>
    <t>No se llama, se desgastó una silla</t>
  </si>
  <si>
    <t>224/21,277/21</t>
  </si>
  <si>
    <t>Asunción #3090 Col Chapalita Guadalajara/ Chimalpopoca #491 Zapopan</t>
  </si>
  <si>
    <t>Colchón KS Healty, sala 6 p r r Eco</t>
  </si>
  <si>
    <t>278/21</t>
  </si>
  <si>
    <t>Dulce Ma. Valenzuela</t>
  </si>
  <si>
    <t>33-1743-8100</t>
  </si>
  <si>
    <t>Santiago Guzmán #966 Col. Miguel Hidalgo Guadalajara</t>
  </si>
  <si>
    <t>279/21</t>
  </si>
  <si>
    <t>Sergio Torres</t>
  </si>
  <si>
    <t>33-1316-6715</t>
  </si>
  <si>
    <t>Calle Central #40 Int Circ B 262 Tonala</t>
  </si>
  <si>
    <t>Sala 6 p t r, Colchón Mat Senc</t>
  </si>
  <si>
    <t>281/21</t>
  </si>
  <si>
    <t xml:space="preserve">Brenda Nuñez </t>
  </si>
  <si>
    <t>33-1829-8111</t>
  </si>
  <si>
    <t>Calle Chihuahua #1071 int 201 Guadalajara</t>
  </si>
  <si>
    <t>Colchón KS, PURT</t>
  </si>
  <si>
    <t>Se manda WA, le encantó, muy atentos y cumplidos</t>
  </si>
  <si>
    <t>Daniela López</t>
  </si>
  <si>
    <t>33-3069-9124</t>
  </si>
  <si>
    <t>Calle Guatemala #1620 Entre Colón y Lázaro Cárdenas Gdl</t>
  </si>
  <si>
    <t>sillas secretariales Prem</t>
  </si>
  <si>
    <t>283/21</t>
  </si>
  <si>
    <t>Julio César Carranza</t>
  </si>
  <si>
    <t>44-3179-1100</t>
  </si>
  <si>
    <t>Vereda del Águila #79 Coto Valencia y Tenerife Puerta de Hierro Zapopan</t>
  </si>
  <si>
    <t>Tapete sintetico Prem</t>
  </si>
  <si>
    <t>Evila Quintana</t>
  </si>
  <si>
    <t>33-4048-5562</t>
  </si>
  <si>
    <t>Rio Blanco #1590 Int 171 Coto Los Patos Zapopan</t>
  </si>
  <si>
    <t>Sala 4 p t f, Tapete Sint, Prot PURT</t>
  </si>
  <si>
    <t>Le gustó</t>
  </si>
  <si>
    <t>285/21</t>
  </si>
  <si>
    <t>Ana Fletes</t>
  </si>
  <si>
    <t>33-1411-9505</t>
  </si>
  <si>
    <t>Batalla de Puebla #3416 Col. Res El Tapatío Tlaquepaque</t>
  </si>
  <si>
    <t>Sala 4 p t f, Sillas a y r, Colchón Mat Senc</t>
  </si>
  <si>
    <t>286/21</t>
  </si>
  <si>
    <t>Fco. I Madero #6165 casa 1 Zapopan</t>
  </si>
  <si>
    <t>Qudó muy bien</t>
  </si>
  <si>
    <t>Se le manda WA, no contesta</t>
  </si>
  <si>
    <t>287/21</t>
  </si>
  <si>
    <t>Montserrat Velazquez López</t>
  </si>
  <si>
    <t>33-1194-6255</t>
  </si>
  <si>
    <t>Calle Ameca #1775 Col Benito Júarez Zapopan</t>
  </si>
  <si>
    <t>Colchón Ind, Eco, PURT</t>
  </si>
  <si>
    <t>288/21</t>
  </si>
  <si>
    <t>Raúl Valenzuela</t>
  </si>
  <si>
    <t>55-5503-9789</t>
  </si>
  <si>
    <t>Pedro Gómez #529 Guadalajara</t>
  </si>
  <si>
    <t xml:space="preserve">Tapetes Prem  </t>
  </si>
  <si>
    <t>289/21</t>
  </si>
  <si>
    <t>Alicia López Abrego</t>
  </si>
  <si>
    <t>33-3632-9401</t>
  </si>
  <si>
    <t>Jaime Gomez #2770 Int 2 Col. Paseos del Sol Zapopan</t>
  </si>
  <si>
    <t>290/21</t>
  </si>
  <si>
    <t>Jorge Antonio Chávez</t>
  </si>
  <si>
    <t>33-1386-0971</t>
  </si>
  <si>
    <t>Mariana Rodríguez del Toro # 208 Col. Residencial Arrayanes Tlaquep</t>
  </si>
  <si>
    <t>Se mnada WA, todo bien</t>
  </si>
  <si>
    <t>Se manda WA, quedaron unas manchas, el olor si se quitó</t>
  </si>
  <si>
    <t>291/21</t>
  </si>
  <si>
    <t>Kareli Saavedra</t>
  </si>
  <si>
    <t>33-1194-1803</t>
  </si>
  <si>
    <t>Valle de San Martín #2257 Col. Viveros de Valle Zapopan</t>
  </si>
  <si>
    <t>Sillon 2 p a r, Sillón 1 p t f, Prem</t>
  </si>
  <si>
    <t>292/21</t>
  </si>
  <si>
    <t>Norma Olivera</t>
  </si>
  <si>
    <t>33-3689-1504</t>
  </si>
  <si>
    <t>Menir #1074 Depto 3 Zapopan</t>
  </si>
  <si>
    <t>NO contesta</t>
  </si>
  <si>
    <t>Rep</t>
  </si>
  <si>
    <t>Sala 4 p r r, colchon interno, Sillas a y r Prot Tapete Prot</t>
  </si>
  <si>
    <t>Repite</t>
  </si>
  <si>
    <t>Sala de piel Pig, Tapete, Sillas a y r Eco</t>
  </si>
  <si>
    <t>Sala Píel Pig, Colchín Ind, Tapepte Eco</t>
  </si>
  <si>
    <t>Interiores de BMW piel Prot</t>
  </si>
  <si>
    <t>rep</t>
  </si>
  <si>
    <t>Interiores Toledo, sillas a y r Sala 7 p r r Senc</t>
  </si>
  <si>
    <t>Interiores Piel Mazda Prot</t>
  </si>
  <si>
    <t>Futón Eco</t>
  </si>
  <si>
    <t>Colchon Mat, 2 ind, sillon ind t f Eco</t>
  </si>
  <si>
    <t>Colchón QS, Healty, futón Eco</t>
  </si>
  <si>
    <t>Tapete de lana Senc</t>
  </si>
  <si>
    <t>Sala 3 p t r, Alfombra, Tapete sint Eco Purt</t>
  </si>
  <si>
    <t>Sala 6 p a r Prot</t>
  </si>
  <si>
    <t>Tapete, Purt, Prot</t>
  </si>
  <si>
    <t>Interiores pick up, Honda City Prem</t>
  </si>
  <si>
    <t xml:space="preserve">Colchones mat, Ind Eco, </t>
  </si>
  <si>
    <t>284/21,293/21</t>
  </si>
  <si>
    <t>Sala 4 p t f, Tapete Sint, Prot PURT, Interiores coche Med Senc</t>
  </si>
  <si>
    <t>Interiores coche med Senc</t>
  </si>
  <si>
    <t>Futón, Sillas a y r Senc</t>
  </si>
  <si>
    <t>Colchón KS Senc,</t>
  </si>
  <si>
    <t xml:space="preserve">Tapete Prot  </t>
  </si>
  <si>
    <t>Tapete Senc</t>
  </si>
  <si>
    <t xml:space="preserve">tapete sin, aspirado, </t>
  </si>
  <si>
    <t>Sala 5 p r r , Sillas a y r , Protex, Colchón KS Healty</t>
  </si>
  <si>
    <t>Sala 6 p a r, Senc</t>
  </si>
  <si>
    <t>alfombra, Sala 7 p t f Eco</t>
  </si>
  <si>
    <t>Alfomba Prem</t>
  </si>
  <si>
    <t xml:space="preserve">Colchón KS, Eco </t>
  </si>
  <si>
    <t xml:space="preserve"> </t>
  </si>
  <si>
    <t>294/21</t>
  </si>
  <si>
    <t>Sala 4 p r r, Cojines Eco PURT</t>
  </si>
  <si>
    <t>Sala 9 p t r prot</t>
  </si>
  <si>
    <t>Tapete Healty PURT</t>
  </si>
  <si>
    <t>Sala 4 p a y r Prot</t>
  </si>
  <si>
    <t>Sala 5 p t f, Colchón KS, Tapete sin Senc PURT</t>
  </si>
  <si>
    <t>Sala 6 p t f, Tapete Senc PURT</t>
  </si>
  <si>
    <t>Tapete Eco, Extracción</t>
  </si>
  <si>
    <t>Sala 6 p r r, Cojines, Sillas A y r Senc</t>
  </si>
  <si>
    <t>Tapete Prem PURT</t>
  </si>
  <si>
    <t>Sillas a y r Sillas a Eco</t>
  </si>
  <si>
    <t>Sillas a y r Protex</t>
  </si>
  <si>
    <t>Sala 3 p r r, mueble de abaj Prot</t>
  </si>
  <si>
    <t>Colchón KS Healty</t>
  </si>
  <si>
    <t>no cntesta</t>
  </si>
  <si>
    <t>Tlaquepaque</t>
  </si>
  <si>
    <t>Guadalajara</t>
  </si>
  <si>
    <t>El Salto</t>
  </si>
  <si>
    <t>Tonalá</t>
  </si>
  <si>
    <t>Zapopan</t>
  </si>
  <si>
    <t>Tlajomulco</t>
  </si>
  <si>
    <t>Tipo</t>
  </si>
  <si>
    <t>Res</t>
  </si>
  <si>
    <t>Com</t>
  </si>
  <si>
    <t>Servicios Res</t>
  </si>
  <si>
    <t>Servicios Com</t>
  </si>
  <si>
    <t>Total vendido</t>
  </si>
  <si>
    <t>Alfombra</t>
  </si>
  <si>
    <t>Tapete</t>
  </si>
  <si>
    <t>Sala</t>
  </si>
  <si>
    <t>Sala piel</t>
  </si>
  <si>
    <t>Sillas</t>
  </si>
  <si>
    <t>Autos</t>
  </si>
  <si>
    <t>Colchones</t>
  </si>
  <si>
    <t>PURT</t>
  </si>
  <si>
    <t>Futón</t>
  </si>
  <si>
    <t>Total de muebles</t>
  </si>
  <si>
    <t>Tipo de mueble:</t>
  </si>
  <si>
    <t>Tipo de servicio:</t>
  </si>
  <si>
    <t>Senc</t>
  </si>
  <si>
    <t>Eco</t>
  </si>
  <si>
    <t>Prot</t>
  </si>
  <si>
    <t>Prem</t>
  </si>
  <si>
    <t>Healty</t>
  </si>
  <si>
    <t>Protex</t>
  </si>
  <si>
    <t>Aspirado</t>
  </si>
  <si>
    <t>Extracción</t>
  </si>
  <si>
    <t>Piel</t>
  </si>
  <si>
    <t xml:space="preserve">Total de ventas </t>
  </si>
  <si>
    <t>Total de servicios:</t>
  </si>
  <si>
    <t>Clientes satisfechos</t>
  </si>
  <si>
    <t>Clientes insatisfechos</t>
  </si>
  <si>
    <t>Clientes sin respuesta</t>
  </si>
  <si>
    <t>Total de Municipios</t>
  </si>
  <si>
    <t>Promedios</t>
  </si>
  <si>
    <t>Satisfechos</t>
  </si>
  <si>
    <t>Insatisfechos</t>
  </si>
  <si>
    <t>Sin Respuesta</t>
  </si>
  <si>
    <t>Dias del mes laborales</t>
  </si>
  <si>
    <t>Venta</t>
  </si>
  <si>
    <t>Tipo de cliente</t>
  </si>
  <si>
    <t>Tipo de mueble</t>
  </si>
  <si>
    <t>Tipo de servicio</t>
  </si>
  <si>
    <t>Satisfacción</t>
  </si>
  <si>
    <t>Municipio</t>
  </si>
  <si>
    <t>servicio</t>
  </si>
  <si>
    <t>venta diaria</t>
  </si>
  <si>
    <t>184/21, 295/21</t>
  </si>
  <si>
    <t>296/21</t>
  </si>
  <si>
    <t>Ian Lizárraga</t>
  </si>
  <si>
    <t>Calle</t>
  </si>
  <si>
    <t>Tapete Eco</t>
  </si>
  <si>
    <t>Tapete, Prot PURT</t>
  </si>
  <si>
    <t>Ian Lizárrga</t>
  </si>
  <si>
    <t>33-2371-1002</t>
  </si>
  <si>
    <t>Constitución de 1857 #3931 Torre II Depto 6 Taquepaque</t>
  </si>
  <si>
    <t>Tapete sint Eco</t>
  </si>
  <si>
    <t>297/21</t>
  </si>
  <si>
    <t>Estefani Nuño Cuellar</t>
  </si>
  <si>
    <t>33-3680-4257</t>
  </si>
  <si>
    <t>Real de los cafetos #718 Col. Camichines Coto Palma Tlaquepaque</t>
  </si>
  <si>
    <t>1a Vez</t>
  </si>
  <si>
    <t>Internet</t>
  </si>
  <si>
    <t>Repetición</t>
  </si>
  <si>
    <t>Recomendación</t>
  </si>
  <si>
    <t>Folletos</t>
  </si>
  <si>
    <t>Vendedores</t>
  </si>
  <si>
    <t>Otro</t>
  </si>
  <si>
    <t>298/21</t>
  </si>
  <si>
    <t>Verónica Cerón</t>
  </si>
  <si>
    <t>33-2042-1252</t>
  </si>
  <si>
    <t>Paseo Solares #999 Coto 8 Casa 113 Zapopan</t>
  </si>
  <si>
    <t>Tapete sint Prem PURT</t>
  </si>
  <si>
    <t>185/21, 246/21,299/21</t>
  </si>
  <si>
    <t>300/21</t>
  </si>
  <si>
    <t>María Rizo</t>
  </si>
  <si>
    <t>33-3555-0445</t>
  </si>
  <si>
    <t>Coto Británico #93 Col. Valle Imperial Zapopan</t>
  </si>
  <si>
    <t>Carriola y porta bebe Tapete Sint Prem</t>
  </si>
  <si>
    <t>301/21</t>
  </si>
  <si>
    <t>Carmen García</t>
  </si>
  <si>
    <t>81-1721-9294</t>
  </si>
  <si>
    <t>Calz De las Palmas #1064 Casa 4 Col. Cd Granja Zapopan</t>
  </si>
  <si>
    <t>Sala de píel, Cojines Prot</t>
  </si>
  <si>
    <t>Isela Ayala</t>
  </si>
  <si>
    <t>33-3115-1836</t>
  </si>
  <si>
    <t>Paseo de los lagos #79 Zapopan</t>
  </si>
  <si>
    <t>Sergio González</t>
  </si>
  <si>
    <t>Carriola y Porta Bebé, Tapete Prem</t>
  </si>
  <si>
    <t>1a vez</t>
  </si>
  <si>
    <t>Tipo de publicidad</t>
  </si>
  <si>
    <t>Publicidad</t>
  </si>
  <si>
    <t>Sillas de of, Prem, sala de vinipiel</t>
  </si>
  <si>
    <t>303/21</t>
  </si>
  <si>
    <t>Lupita Gutiérrez</t>
  </si>
  <si>
    <t>33-3968-0971</t>
  </si>
  <si>
    <t>Coto 10 Garza #139 Col. Jardín Real Zapopan</t>
  </si>
  <si>
    <t>Sala 8 p r r, Cojines Eco</t>
  </si>
  <si>
    <t>Se manda WA, le encantó y la sala quedó muy bien</t>
  </si>
  <si>
    <t>Se manda WA, quedó bien pero se regresa a poner el PURT</t>
  </si>
  <si>
    <t>Silla a y r, banco a y r Eco</t>
  </si>
  <si>
    <t>Colchones KS, Mat, 2 Ind, Futón, Sillón 3 p t f Eco</t>
  </si>
  <si>
    <t>Sillón 3 p t f, cojines, Eco</t>
  </si>
  <si>
    <t>Colchón Mat, Purt, sillas a y r, Eco</t>
  </si>
  <si>
    <t>55/21, 304/21</t>
  </si>
  <si>
    <t xml:space="preserve">Sala 4 p t f, sillas a y r banca Eco, </t>
  </si>
  <si>
    <t>305/21</t>
  </si>
  <si>
    <t>Yedith Castillo</t>
  </si>
  <si>
    <t>33-1402-0216</t>
  </si>
  <si>
    <t>Leona Vicario #2309 Col. La Haciendita Zapopan</t>
  </si>
  <si>
    <t>Sala 6 p t f, Sillas a y r, Colchón KS, Bancos, Senc PURT</t>
  </si>
  <si>
    <t>306/21</t>
  </si>
  <si>
    <t>Claudia Orozco Durazo</t>
  </si>
  <si>
    <t>33-1746-6013</t>
  </si>
  <si>
    <t>Av Tepeyac #5150 Int Fuente Rincón de los poetas Casa 1111 Coto Chapalita Las fuentes Zapopan</t>
  </si>
  <si>
    <t>Sala 5 p t f, Sillas A y r, Banca, Taburete, Sillón 3 p, t f Senc</t>
  </si>
  <si>
    <t>3 Tapetes Sint Eco PURT</t>
  </si>
  <si>
    <t>302/21, 307/21</t>
  </si>
  <si>
    <t>Sala 5 p t f, Prot Se repite con el PURT</t>
  </si>
  <si>
    <t>03/21, 53/21, 187/21,308/21</t>
  </si>
  <si>
    <t>309/21</t>
  </si>
  <si>
    <t>Laura Ramírez</t>
  </si>
  <si>
    <t>33-3581-2396</t>
  </si>
  <si>
    <t>Interior Crisantemos 4 Coto Jardines de Chapalita Zapopan</t>
  </si>
  <si>
    <t>Tapete Sint Prot</t>
  </si>
  <si>
    <t>Se manda WA, le encantó, le estará dando mantenimiento y nos recomendará</t>
  </si>
  <si>
    <t>310/21</t>
  </si>
  <si>
    <t>Luis Gerardo León</t>
  </si>
  <si>
    <t>33-1773-4260</t>
  </si>
  <si>
    <t>Av Lomas de Bugambilias # 1510 Coto Lince Res Int C1 Zapopan</t>
  </si>
  <si>
    <t>Futón, tapete sint Prot</t>
  </si>
  <si>
    <t>311/21</t>
  </si>
  <si>
    <t>Luis Pulido</t>
  </si>
  <si>
    <t>33-2254-4424</t>
  </si>
  <si>
    <t>Violeta #226 Int 45 Col San Carlos Guadalajara</t>
  </si>
  <si>
    <t>Colchón KS Prot</t>
  </si>
  <si>
    <t>Se mnada WA, todo muy bien, quiere repetir</t>
  </si>
  <si>
    <t>Se manda WA, muy satisfactorio y muy bien</t>
  </si>
  <si>
    <t>312/21</t>
  </si>
  <si>
    <t>Javier Hernández</t>
  </si>
  <si>
    <t>33-2229-3756</t>
  </si>
  <si>
    <t>Ramón López Velarde #72 Col. San Antonio Guadalajara</t>
  </si>
  <si>
    <t>Sofa 2 p r r, Sillón 1 p t f, Prem</t>
  </si>
  <si>
    <t>280/21</t>
  </si>
  <si>
    <t>José Carlos Gutirrrez</t>
  </si>
  <si>
    <t>33-3397-7651</t>
  </si>
  <si>
    <t>Calle La Noche #2722 Col. Jardines del Bosque Gdl</t>
  </si>
  <si>
    <t>313/21</t>
  </si>
  <si>
    <t>Israel Serrano</t>
  </si>
  <si>
    <t>722-244-0236</t>
  </si>
  <si>
    <t>Av Universidad #185 Casa I-18 Puerta del Bosque, Zapopan</t>
  </si>
  <si>
    <t>Sala 6 p t r, Sala 8 p t f, Sillas a y r, Cojines, PURT</t>
  </si>
  <si>
    <t>Se mnada WA, muy satisfecho</t>
  </si>
  <si>
    <t>314/21</t>
  </si>
  <si>
    <t>Alfredo Elias Mora León</t>
  </si>
  <si>
    <t>33-1417-4294</t>
  </si>
  <si>
    <t>Av agrícola #3237 int 60 Col. Parques del Bosque Coto Cedros Tlaquepaque</t>
  </si>
  <si>
    <t>Sillas s a, sala 2 p t f, Tapete Prot</t>
  </si>
  <si>
    <t>Sillas s a, Sillones 2 p t f, Tapete sint Prot</t>
  </si>
  <si>
    <t>Muy Bien</t>
  </si>
  <si>
    <t>33-2581-2851</t>
  </si>
  <si>
    <t>Mexicalzingo #2314 Col. Americana</t>
  </si>
  <si>
    <t>Sala 4 p t f, Tapete de lana Prot</t>
  </si>
  <si>
    <t>316/21</t>
  </si>
  <si>
    <t>Arlette Raquel Oliva Espinoza</t>
  </si>
  <si>
    <t>33-2244-3418</t>
  </si>
  <si>
    <t>Tierra de duendes #241 Fracc Terralta Tlaquepaque</t>
  </si>
  <si>
    <t>Sala 5 p t f, Colchones Ind y cuna, Sillas a y r, Tapete sint Senc</t>
  </si>
  <si>
    <t>282/21,317/21</t>
  </si>
  <si>
    <t>sillas secretariales Prem, clchones KS, 2 ind Healty</t>
  </si>
  <si>
    <t>Le ancantó, repite</t>
  </si>
  <si>
    <t>Se mnada WA, todo muy bien</t>
  </si>
  <si>
    <t>Sala 6 p t f Senc, 3 Tapetes Eco</t>
  </si>
  <si>
    <t>Sala de piel, 2 Tapetes Sint Healty PURT</t>
  </si>
  <si>
    <t>Interiores Audi A3 tela Eco</t>
  </si>
  <si>
    <t>Parece que bien, repiten</t>
  </si>
  <si>
    <t>319/21</t>
  </si>
  <si>
    <t>Beatriz Olivares</t>
  </si>
  <si>
    <t>33-2031-4561</t>
  </si>
  <si>
    <t>Calle Fco I Madero #6209 Depto 5050 2a Torre de Britania, Zapopan</t>
  </si>
  <si>
    <t>Sala 5 p t f, Eco</t>
  </si>
  <si>
    <t>Se manda WA, bien, quedó muy satisfecha</t>
  </si>
  <si>
    <t>Se mnada WA, quedaron satisfechos</t>
  </si>
  <si>
    <t>320/21</t>
  </si>
  <si>
    <t>Ana Karina Chávez Madrigal</t>
  </si>
  <si>
    <t>33-5331-8919</t>
  </si>
  <si>
    <t>Octavio Aguilar Rosales/Javier Sotelo</t>
  </si>
  <si>
    <t>Av Plan de San Luis #1517 Col Mezquitán Country Zapoopan</t>
  </si>
  <si>
    <t>Sala 5 p r r, Cojines Prem</t>
  </si>
  <si>
    <t>321/21</t>
  </si>
  <si>
    <t>Manuel Alfredo Rodriguez</t>
  </si>
  <si>
    <t>44-3187-5881</t>
  </si>
  <si>
    <t>Av Vallarta #3145 Int 1 Col. Vallarta Poniente, Guadalajara</t>
  </si>
  <si>
    <t>Alfombra, Senc PURT</t>
  </si>
  <si>
    <t>146/21,262/21, 322/21</t>
  </si>
  <si>
    <t>Sala 5 p t f, Colchón KS, Tapete sin Senc PURT, Sala 4 p a y r Prot, base de cama, camioneta Escape Senc</t>
  </si>
  <si>
    <t>323/21</t>
  </si>
  <si>
    <t>Gisela Carrada</t>
  </si>
  <si>
    <t>33-1417-5846</t>
  </si>
  <si>
    <t>Puerto Bajania #1 Fracc Banos Tlajomulco</t>
  </si>
  <si>
    <t>Sala 6 p t f, Sillas a y r, sillón 1 p t f, Senc</t>
  </si>
  <si>
    <t>324/21</t>
  </si>
  <si>
    <t>Yolanda Zepeda</t>
  </si>
  <si>
    <t>33-3815-1414</t>
  </si>
  <si>
    <t>Av del Ahuehuete #100 Int 18-A Coto La Camelia Zapopan</t>
  </si>
  <si>
    <t>Sala 5 p r r, sillas s a, Senc</t>
  </si>
  <si>
    <t>clienta MUY abusiva</t>
  </si>
  <si>
    <t>2 Tapetes Prem PURT</t>
  </si>
  <si>
    <t>Interior Gol tela, carriola / porta bebe, Eco</t>
  </si>
  <si>
    <t>Piso</t>
  </si>
  <si>
    <t xml:space="preserve">2Tapetes Prem  </t>
  </si>
  <si>
    <t>Sala 6 p t f, Colchones Mat, KS,Senc</t>
  </si>
  <si>
    <t xml:space="preserve">Colchón KS, Healty PURT </t>
  </si>
  <si>
    <t>Quedaron muy bien</t>
  </si>
  <si>
    <t>no contesta</t>
  </si>
  <si>
    <t>le gustó mucho</t>
  </si>
  <si>
    <t>Repiten</t>
  </si>
  <si>
    <t>37/21, 325/21</t>
  </si>
  <si>
    <t>Sala gris 6 p t r, sofa cama sec, en rep eco y PURT</t>
  </si>
  <si>
    <t>Se manda WA, las sillas quedaron con la orilla sucia</t>
  </si>
  <si>
    <t>326/21</t>
  </si>
  <si>
    <t>Mercedes Cisneros/ Claudia Hinojosa</t>
  </si>
  <si>
    <t>33-3841-0537</t>
  </si>
  <si>
    <t>Jaime Nunó #1041 Esq Av de los Maestros Col Mezquitán Country Gdl</t>
  </si>
  <si>
    <t>Sala 5 p t f, Reposet Prot</t>
  </si>
  <si>
    <t>327/21</t>
  </si>
  <si>
    <t>Francisco Bravo</t>
  </si>
  <si>
    <t>33-1880-8817</t>
  </si>
  <si>
    <t>Priv Bugambilias #1083 casa 7 Col La Florida Zapopan</t>
  </si>
  <si>
    <t>Sala6 p t f, Sillas a y r Senc</t>
  </si>
  <si>
    <t>Venta diaria</t>
  </si>
  <si>
    <t>% Cliente Res</t>
  </si>
  <si>
    <t>% Rep</t>
  </si>
  <si>
    <t>Mueble</t>
  </si>
  <si>
    <t>Paquete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</si>
  <si>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</si>
  <si>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</si>
  <si>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</si>
  <si>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</si>
  <si>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</si>
  <si>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</si>
  <si>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</si>
  <si>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</si>
  <si>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</si>
  <si>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</si>
  <si>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</si>
  <si>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</si>
  <si>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</si>
  <si>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</si>
  <si>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No. Servicios</t>
  </si>
  <si>
    <t>Venta promedio</t>
  </si>
  <si>
    <t>Total de servicios</t>
  </si>
  <si>
    <t xml:space="preserve">Total de servicios </t>
  </si>
  <si>
    <t>Tapete, Sala, Colchón</t>
  </si>
  <si>
    <t>Tapete, Sala Sillas</t>
  </si>
  <si>
    <t xml:space="preserve">Sala </t>
  </si>
  <si>
    <t xml:space="preserve">Eco </t>
  </si>
  <si>
    <t xml:space="preserve">Senc </t>
  </si>
  <si>
    <t xml:space="preserve">Prem </t>
  </si>
  <si>
    <t>Tlaquepaq</t>
  </si>
  <si>
    <t>Alvaro Gilberto Rodríguez</t>
  </si>
  <si>
    <t>Lana</t>
  </si>
  <si>
    <t>Sintético</t>
  </si>
  <si>
    <t>Seda</t>
  </si>
  <si>
    <t>todo fijo</t>
  </si>
  <si>
    <t>Resaldo o asiento removible</t>
  </si>
  <si>
    <t>Todo removible</t>
  </si>
  <si>
    <t>Sala 3p</t>
  </si>
  <si>
    <t>Sala 4p</t>
  </si>
  <si>
    <t>Sala 5p</t>
  </si>
  <si>
    <t>Sala 6p</t>
  </si>
  <si>
    <t>328/21</t>
  </si>
  <si>
    <t>Yamilé Gómez</t>
  </si>
  <si>
    <t>Independencia #413 Col Hac de San José Tlaquepaque</t>
  </si>
  <si>
    <t>2 Tapetes sint, Colchón KS, Senc PURT</t>
  </si>
  <si>
    <t>No hay teléfono</t>
  </si>
  <si>
    <t>Se mmanda WA, quedó muy bien</t>
  </si>
  <si>
    <t>Se manda WA, quedó muy contento, como nuevas</t>
  </si>
  <si>
    <t>329/21</t>
  </si>
  <si>
    <t>Josefina López</t>
  </si>
  <si>
    <t>33-3952-1097</t>
  </si>
  <si>
    <t>Plateros #2437 Col. Jardines del Country Guadalajara</t>
  </si>
  <si>
    <t>Tapete sint, tapete Algodón Healty</t>
  </si>
  <si>
    <t>330/21</t>
  </si>
  <si>
    <t>Víctor Daniel Flores / GS Innovación</t>
  </si>
  <si>
    <t>33-117-1338</t>
  </si>
  <si>
    <t>Barra de Navidad #35 Zapopan</t>
  </si>
  <si>
    <t>Sala 3p t f Prem</t>
  </si>
  <si>
    <t>Todo al cien</t>
  </si>
  <si>
    <t>Tapete Healty, sala 4 p r r, sillas a y r taburetes Prot</t>
  </si>
  <si>
    <t>Sólo asiento</t>
  </si>
  <si>
    <t>Asiento y respaldo</t>
  </si>
  <si>
    <t>Chico</t>
  </si>
  <si>
    <t>Mediano</t>
  </si>
  <si>
    <t>Grande</t>
  </si>
  <si>
    <t>Camioneta</t>
  </si>
  <si>
    <t>Pick up</t>
  </si>
  <si>
    <t>Pick up doble cabina</t>
  </si>
  <si>
    <t>Autos tela</t>
  </si>
  <si>
    <t>Autos Piel</t>
  </si>
  <si>
    <t>Sala tela</t>
  </si>
  <si>
    <t>Ind</t>
  </si>
  <si>
    <t>Mat</t>
  </si>
  <si>
    <t>QS</t>
  </si>
  <si>
    <t>KS</t>
  </si>
  <si>
    <t>Taburete</t>
  </si>
  <si>
    <t>Cabecera</t>
  </si>
  <si>
    <t>Carriola y porta bebé</t>
  </si>
  <si>
    <t>Cojines</t>
  </si>
  <si>
    <t>Sofa3 p t r, taburete, Sala 5 p t f, Tapete sintetico Eco, PURT</t>
  </si>
  <si>
    <t>Sala 7 p</t>
  </si>
  <si>
    <t>Sala 1 p</t>
  </si>
  <si>
    <t>Sala 2 p</t>
  </si>
  <si>
    <t>Banca</t>
  </si>
  <si>
    <t>331/21</t>
  </si>
  <si>
    <t>Francisco Becerra</t>
  </si>
  <si>
    <t>33-1974-9034</t>
  </si>
  <si>
    <t>Diego Durán #1135 Col. Jardines de la Paz Gdl</t>
  </si>
  <si>
    <t>Colchón QS Healty</t>
  </si>
  <si>
    <t>Muy bien, quedó muy satifecho</t>
  </si>
  <si>
    <t>Sala en L 5 p r r, bancos, Prem</t>
  </si>
  <si>
    <t>332/21</t>
  </si>
  <si>
    <t>33-1282-8195</t>
  </si>
  <si>
    <t>Jaqueline Castañeda</t>
  </si>
  <si>
    <t>López Cotilla #1223 Depto 502 B Col. Americana Gdl</t>
  </si>
  <si>
    <t xml:space="preserve">Colchón KS Healty </t>
  </si>
  <si>
    <t>No  contesta</t>
  </si>
  <si>
    <t>Sillón 4 p t f, Silla a, Tapete lana Senc</t>
  </si>
  <si>
    <t>Sala gris 6 p t r, sofa cama senc</t>
  </si>
  <si>
    <t>Sala 4 p t r, senc PURT</t>
  </si>
  <si>
    <t xml:space="preserve"> 4 Tapetes sen, sala 6 p t f Prot</t>
  </si>
  <si>
    <t>333/21</t>
  </si>
  <si>
    <t>Carvel Print Serigraph/Juan Arriaga</t>
  </si>
  <si>
    <t>33-3201-9300</t>
  </si>
  <si>
    <t>Calle Felipe Ruvalcaba #5700 Col El colli Urbano Zapopan</t>
  </si>
  <si>
    <t>334/21</t>
  </si>
  <si>
    <t>Ecónomos #5980 Coto El Carmen II Int C14  Col. Arcos de Gpe Zapopan</t>
  </si>
  <si>
    <t>Laura Gisela Pérez</t>
  </si>
  <si>
    <t>33-3620-3789</t>
  </si>
  <si>
    <t>Sala 6 p t f, Sillas a y r Sillones 1 p t f, Senc</t>
  </si>
  <si>
    <t>365/21</t>
  </si>
  <si>
    <t xml:space="preserve">Lesli Kick </t>
  </si>
  <si>
    <t>55-3504-1343</t>
  </si>
  <si>
    <t>Av Valle Real # 3000 Coto Reserva Real, Int Torre Cigales #62 Col Valle Real Zapopan</t>
  </si>
  <si>
    <t>sala 2 p t f, chaise lounge, Piecera, Reposet, Tapete sint, Senc, PURT</t>
  </si>
  <si>
    <t>336/21</t>
  </si>
  <si>
    <t>Francisco Javier Salcedo</t>
  </si>
  <si>
    <t>33-3157-8344</t>
  </si>
  <si>
    <t>Av Monteverde #3227 Fracc Monteverde 3a Secc Zapopan</t>
  </si>
  <si>
    <t>Sillas a y r Prot</t>
  </si>
  <si>
    <t>sala 2 p</t>
  </si>
  <si>
    <t>Bancos</t>
  </si>
  <si>
    <t>Reposet</t>
  </si>
  <si>
    <t>sala 1 p</t>
  </si>
  <si>
    <t>Sala 8 p</t>
  </si>
  <si>
    <t>Tapete sint, , carriola/porta bebe, Senc</t>
  </si>
  <si>
    <t>337/21</t>
  </si>
  <si>
    <t>Dominico Giovimazzo</t>
  </si>
  <si>
    <t>33-3170-1583</t>
  </si>
  <si>
    <t>Lomas de Líbano #2169 Col. Lomas de Atemajac Zapopan</t>
  </si>
  <si>
    <t>Colchones Mat, QS, KS, Sala 6 p t f, Taburete Senc</t>
  </si>
  <si>
    <t>Se manda WA, Excelente, vuelve a contratar y recomendará</t>
  </si>
  <si>
    <t>Se manda WA, Excelente, repetira, y nos recomendará</t>
  </si>
  <si>
    <t>Quedaron muy bien, quedó muy satisfecho</t>
  </si>
  <si>
    <t>Sala 6 p a r, banca, sillas a y r, Sala 6 p t f Senc</t>
  </si>
  <si>
    <t>3 Sillones 1 p t f, Cojines, Colchones Ind, Mat, Prem, PURT</t>
  </si>
  <si>
    <t>Sala 2 p r r, en esquina y sillon 2 p a r, tapete Senc</t>
  </si>
  <si>
    <t>338/21</t>
  </si>
  <si>
    <t>Norma García</t>
  </si>
  <si>
    <t>33-2185-2723</t>
  </si>
  <si>
    <t>Calle Jazmín o Allende #401 Col. Jardines de Tonala, Tonalá</t>
  </si>
  <si>
    <t>Sala 5 p r r, Sillas a y r, Banca, Prem, Tapete sint Prot PURT</t>
  </si>
  <si>
    <t>Se manda WA, muy bien, Quedó muy satifecho</t>
  </si>
  <si>
    <t>339/21</t>
  </si>
  <si>
    <t>Alexis Viridiana Buenrostro García</t>
  </si>
  <si>
    <t>33-3628-3525</t>
  </si>
  <si>
    <t>Misión de San Julián #6235 Coto Nueva Galicia I Int Provincia de Málaga # 50 Zapopan</t>
  </si>
  <si>
    <t>340/21</t>
  </si>
  <si>
    <t>Comercializadora 88/Araceli</t>
  </si>
  <si>
    <t>33-3333-7475</t>
  </si>
  <si>
    <t>Juan de Dios Robledo #2087 Col. Vicente Guerrero Guadalajara</t>
  </si>
  <si>
    <t>Alfombra Eco</t>
  </si>
  <si>
    <t>Quedó muy bien, se notó el cambio</t>
  </si>
  <si>
    <t>Se mnada WA; en las esquinas de los cojines un poco manchados, pero el servivio bien</t>
  </si>
  <si>
    <t>Colchón QS, Sillón 2 p t f, antiacaros, Prem, Sofá de piel</t>
  </si>
  <si>
    <t>Sala 3 p</t>
  </si>
  <si>
    <t>Sala 4 p</t>
  </si>
  <si>
    <t>Sala 5 p</t>
  </si>
  <si>
    <t>Sala 6 p</t>
  </si>
  <si>
    <t>Sala 12 p</t>
  </si>
  <si>
    <t>Sala en L 5 p t f, Sillas a y r, Banca, Cojines Prem</t>
  </si>
  <si>
    <t>Love seat 2 p a y r, Colchón Mat, Chise Lounge, Tapete sint Prem, PURT</t>
  </si>
  <si>
    <t>Sala 9 p</t>
  </si>
  <si>
    <t>Sillas a y r, Tapete sint, Prot</t>
  </si>
  <si>
    <t>341/21</t>
  </si>
  <si>
    <t>Blanca Palacios</t>
  </si>
  <si>
    <t>66-7336-3524</t>
  </si>
  <si>
    <t>Av Paseo Valle Real Torre Eleve Depto 5-A Zapopan</t>
  </si>
  <si>
    <t>Tapete sint, Sala 6 p t r Senc</t>
  </si>
  <si>
    <t>Patricia Torres</t>
  </si>
  <si>
    <t>722-153-3334</t>
  </si>
  <si>
    <t>Circ del Bosque #216 Casa 105 Coto Amate Col. Bosques de Vallarta Zapopan</t>
  </si>
  <si>
    <t>Se mnada WA, quedaron bien, pero alguas esquinas sucias el servicio excelente</t>
  </si>
  <si>
    <t>343/21</t>
  </si>
  <si>
    <t>Camila Serrano Fimbres</t>
  </si>
  <si>
    <t>66-9102-9802</t>
  </si>
  <si>
    <t>Colomos #2770 Torres Melek Depto 904 Col. Providencia Gdl</t>
  </si>
  <si>
    <t>Colchón Mat, Eco PURT</t>
  </si>
  <si>
    <t>344/21</t>
  </si>
  <si>
    <t>Catalina Morfín</t>
  </si>
  <si>
    <t>33-1486-3234</t>
  </si>
  <si>
    <t>Cuauhtemoc #1057 Cd. De los niños Zapopan</t>
  </si>
  <si>
    <t>Sofá 2 p a r, Sala 6 p t r, Sillon 2 p t f Prot</t>
  </si>
  <si>
    <t>Colchón interno</t>
  </si>
  <si>
    <t>Sala 10 p</t>
  </si>
  <si>
    <t>Torre de gatos</t>
  </si>
  <si>
    <t>345/21</t>
  </si>
  <si>
    <t>Mariana Valero</t>
  </si>
  <si>
    <t>33-1232-6264</t>
  </si>
  <si>
    <t>Pompeya # 2675 Lomas de Guevera Zapopan</t>
  </si>
  <si>
    <t>tapete sint, 4 tapetes lana, tapete viscosa Senc, PURT</t>
  </si>
  <si>
    <t>Se manda WA, super bien y muy buen servicio</t>
  </si>
  <si>
    <t>346/21</t>
  </si>
  <si>
    <t>33-1985-9716</t>
  </si>
  <si>
    <t>Isela Mojica/ Speak Communications</t>
  </si>
  <si>
    <t>Av Real Acueducto #240 Piso 12 Zapopan</t>
  </si>
  <si>
    <t>Tapete de lana Prem</t>
  </si>
  <si>
    <t>Les gustó mucho, piden otra cot</t>
  </si>
  <si>
    <t>Se manda WA Todo muy bien</t>
  </si>
  <si>
    <t>347/21</t>
  </si>
  <si>
    <t>Coral #2633 Col. Verde Valle Gdl</t>
  </si>
  <si>
    <t>Colchón KS Eco, Sillas s a Prot, Cabecera Eco</t>
  </si>
  <si>
    <t>33-6059-2241</t>
  </si>
  <si>
    <t>Paola Padilla Jiménez</t>
  </si>
  <si>
    <t>348/21</t>
  </si>
  <si>
    <t>Lourdes García</t>
  </si>
  <si>
    <t>33-3102-0991</t>
  </si>
  <si>
    <t>Paseo de los Sauces #15 Col. La Ermita El Salto</t>
  </si>
  <si>
    <t>Sala 6 p t f, colchones Ind, Mat senc</t>
  </si>
  <si>
    <t>Se manda WA, el colchón no lo ha checado, las sillas, muy bien</t>
  </si>
  <si>
    <t>58/21, 101/21, 349/21</t>
  </si>
  <si>
    <t>tapete sin, aspirado, senc, PURT</t>
  </si>
  <si>
    <t>tapete sin, senc, PURT</t>
  </si>
  <si>
    <t>Es repetición</t>
  </si>
  <si>
    <t>sala 3 p t f, Sillas a Prem</t>
  </si>
  <si>
    <t xml:space="preserve">Sala 5 p t f, Prot </t>
  </si>
  <si>
    <t>Sala 6 p t f, Sillas a y r Senc</t>
  </si>
  <si>
    <t>Sala 6 p t r, Sala 8 p t f, Sillas a y r, Cojines, Senc PURT</t>
  </si>
  <si>
    <t>Se mmanda WA, lo revisa</t>
  </si>
  <si>
    <t>Se mnada WA, quedó muy contento</t>
  </si>
  <si>
    <t>Domenico Giovimazzo</t>
  </si>
  <si>
    <t>Se manda WA, todos quedaron bien, excepto uno, al que ya no se le quitó</t>
  </si>
  <si>
    <t>Sala 3 p t f Prem</t>
  </si>
  <si>
    <t>Cuna</t>
  </si>
  <si>
    <t>Banco</t>
  </si>
  <si>
    <t>350/21</t>
  </si>
  <si>
    <t>Fernando Palacios</t>
  </si>
  <si>
    <t>33-3156-8071</t>
  </si>
  <si>
    <t>Amado Nervo #840 Col. Ladrón de Guevara Zapopan</t>
  </si>
  <si>
    <t>Interiores de Figo Tela Healty</t>
  </si>
  <si>
    <t>Se manda WA, uno quedó con orina</t>
  </si>
  <si>
    <t>Se manda WA, se regresa a repasar</t>
  </si>
  <si>
    <t>351/21</t>
  </si>
  <si>
    <t>José Montoya</t>
  </si>
  <si>
    <t>33-3182-4978</t>
  </si>
  <si>
    <t>Valle del Platino # 2639 B Zapopan</t>
  </si>
  <si>
    <t>Alfombra, Sillas a y r Eco</t>
  </si>
  <si>
    <t>Muy contentó volverá a contratar</t>
  </si>
  <si>
    <t>352/21</t>
  </si>
  <si>
    <t>Zania Camp Vidal</t>
  </si>
  <si>
    <t>55-7370-3952</t>
  </si>
  <si>
    <t>Av Paseo Natura #3428 Coto Liborno Casa 193 Col. Natura Bosques Res Zapopan</t>
  </si>
  <si>
    <t>Sofá 3 p t f, Prot</t>
  </si>
  <si>
    <t>Muy amables y el servico bueno, muy bien</t>
  </si>
  <si>
    <t>353/21</t>
  </si>
  <si>
    <t>33-1517-0749</t>
  </si>
  <si>
    <t>Av José Parrés Arias #170 Col. Industrial Belenes Zapopan</t>
  </si>
  <si>
    <t>354/21</t>
  </si>
  <si>
    <t>Jesús Murillo</t>
  </si>
  <si>
    <t>33-2258-1881</t>
  </si>
  <si>
    <t>Av La Paz # 2566 Fracc Arcos Vallarta Gdl</t>
  </si>
  <si>
    <t>2 Tapetes sint, Prot</t>
  </si>
  <si>
    <t>355/21</t>
  </si>
  <si>
    <t>Areli Bernal</t>
  </si>
  <si>
    <t>33-2657-3762</t>
  </si>
  <si>
    <t>Manuel Digues #198 A Col. Jocotán Zapopan</t>
  </si>
  <si>
    <t>Colchón KS Healty PURT</t>
  </si>
  <si>
    <t>Venta mensual bruta</t>
  </si>
  <si>
    <t>Gastos</t>
  </si>
  <si>
    <t>356/21</t>
  </si>
  <si>
    <t>Gloria Leticia Monclova</t>
  </si>
  <si>
    <t>33-2833-0980</t>
  </si>
  <si>
    <t>Av Universidad #185 Casa L25 Puerta del Bosque Zapopan</t>
  </si>
  <si>
    <t>2 Tapetes sint Senc</t>
  </si>
  <si>
    <t>Se manda WA, salió de la ciudad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</si>
  <si>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</si>
  <si>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</si>
  <si>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</si>
  <si>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</si>
  <si>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</si>
  <si>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</si>
  <si>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</si>
  <si>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</si>
  <si>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</si>
  <si>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</si>
  <si>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</si>
  <si>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</si>
  <si>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 fijo</t>
  </si>
  <si>
    <t>Tipo de sala</t>
  </si>
  <si>
    <t>A o R removible</t>
  </si>
  <si>
    <t>Todo Removible</t>
  </si>
  <si>
    <t>Plazas</t>
  </si>
  <si>
    <t>Asiento</t>
  </si>
  <si>
    <t>1 Plaza</t>
  </si>
  <si>
    <t>2 Plazas</t>
  </si>
  <si>
    <t>3 Plazas</t>
  </si>
  <si>
    <t>4 Plazas</t>
  </si>
  <si>
    <t>5 Plazas</t>
  </si>
  <si>
    <t>6 Plazas</t>
  </si>
  <si>
    <t>7 Plazas</t>
  </si>
  <si>
    <t>8 Plazas</t>
  </si>
  <si>
    <t>9 Plazas</t>
  </si>
  <si>
    <t>10 Plazas</t>
  </si>
  <si>
    <t>11 Plazas</t>
  </si>
  <si>
    <t>12 Plazas</t>
  </si>
  <si>
    <t>Utilidad</t>
  </si>
  <si>
    <t>188/21, 357/21</t>
  </si>
  <si>
    <t>Sala 5 p t f, Senc, interiores de Jetta Senc</t>
  </si>
  <si>
    <t>Se manda WA, no conrtesta, repite</t>
  </si>
  <si>
    <t>358/21</t>
  </si>
  <si>
    <t>Jorge Loera</t>
  </si>
  <si>
    <t>61-8109-9138</t>
  </si>
  <si>
    <t>Calle Florencia #3147 Col. Providencia 4a Secc. Zapopan</t>
  </si>
  <si>
    <t>Colchón Ind, Cojín y Almohada Healty</t>
  </si>
  <si>
    <t>Se mnada WA, le gustó el servicio</t>
  </si>
  <si>
    <t>359/21</t>
  </si>
  <si>
    <t>Lizeth González</t>
  </si>
  <si>
    <t>33-2215-4633</t>
  </si>
  <si>
    <t>Av San Ignacio #336 Int 129 Coto Arboreto Res Zapopan</t>
  </si>
  <si>
    <t>Sala 4 p t f, Tapete Sint Eco</t>
  </si>
  <si>
    <t>342/21, 360/21</t>
  </si>
  <si>
    <t>Se manda WA, muy bien, Repite</t>
  </si>
  <si>
    <t>361/21</t>
  </si>
  <si>
    <t>Ma Luisa Vázquez</t>
  </si>
  <si>
    <t>33-3192-9488</t>
  </si>
  <si>
    <t>Esteban Alatorre #893 Esq Aquiles Serdán Guadalajara</t>
  </si>
  <si>
    <t>Sala 4 p t r, Sillas a y Banco Senc</t>
  </si>
  <si>
    <t>Se manda WA, todo súper limpio, no creyó que se quitaran las manchas</t>
  </si>
  <si>
    <t>362/21</t>
  </si>
  <si>
    <t>Jorge Cerdeño</t>
  </si>
  <si>
    <t>46-4645-7363</t>
  </si>
  <si>
    <t>Rinconada del pino #29 Coto Rinc de Gpe Zapopan</t>
  </si>
  <si>
    <t>2 tapetes sint Healty</t>
  </si>
  <si>
    <t>363/21</t>
  </si>
  <si>
    <t>Nancy Livier Alfaro David</t>
  </si>
  <si>
    <t>33-1365-3951</t>
  </si>
  <si>
    <t>Monte Celestes #1868 Col. Independencia Gdl</t>
  </si>
  <si>
    <t>Sala 5 p r r, Colchón cuna, Tapete de lana, Tapete sint, Jirafa, Senc PURT</t>
  </si>
  <si>
    <t>Pide le regresen el dinero de la jirafa</t>
  </si>
  <si>
    <t>364/21</t>
  </si>
  <si>
    <t>Jazmín Villar</t>
  </si>
  <si>
    <t>33-3955-3725</t>
  </si>
  <si>
    <t>Colina Imperial #2182 Col. Colinas de Atemajac Zapopan</t>
  </si>
  <si>
    <t>2 Tapete Sint Sec PURT</t>
  </si>
  <si>
    <t>No los ha checado bien</t>
  </si>
  <si>
    <t>Eber Yesua De la Torre</t>
  </si>
  <si>
    <t>33-1769-4968</t>
  </si>
  <si>
    <t>Calle Cerro Azul #1481 Col. Postes Cuates Gdl</t>
  </si>
  <si>
    <t>2 Tapete Sint Prot</t>
  </si>
  <si>
    <t>366/21</t>
  </si>
  <si>
    <t>Juan Carlos Espinoza</t>
  </si>
  <si>
    <t>Silvia #2076-6 Zapopan</t>
  </si>
  <si>
    <t>Sala 4 p a r Prem</t>
  </si>
  <si>
    <t>367/21</t>
  </si>
  <si>
    <t>Magdalena Magallanes</t>
  </si>
  <si>
    <t>33-3496-6506</t>
  </si>
  <si>
    <t>La Valentina #100-116 Col. Toluquilla Tlaquepaque</t>
  </si>
  <si>
    <t>Colchón mat, tapete sint Eco</t>
  </si>
  <si>
    <t>Se manda WA, no las ha desepacado, pero huelen a nuevo</t>
  </si>
  <si>
    <t>Doris Rojas Rojas</t>
  </si>
  <si>
    <t>33-2495-7977</t>
  </si>
  <si>
    <t>Coto D Casa 103 La Cima Zapopan</t>
  </si>
  <si>
    <t>Se mnada WA, quedaron satisfechos, Repite</t>
  </si>
  <si>
    <t>315/21, 370/21, 371/21</t>
  </si>
  <si>
    <t>Sala 4 p t f, Tapete de lana Prot, Tapete sint, Sillas a y r, Sillas a, Senc, sillón 1 p a y r, Prot, Tapete sint Eco PURT</t>
  </si>
  <si>
    <t>Mónica Gisela Guzmán Ledezma</t>
  </si>
  <si>
    <t>33-2495-5100</t>
  </si>
  <si>
    <t>Camino Real a Zapopan #50 Int Calle 2A Int 41 Coto Munah Smart Life Zapoapn</t>
  </si>
  <si>
    <t>Se manda WA, Todo bien</t>
  </si>
  <si>
    <t>Javier Torres</t>
  </si>
  <si>
    <t>33-1704-8350</t>
  </si>
  <si>
    <t>Andrés Terán #1533 Col. Chapultepec country Gdl</t>
  </si>
  <si>
    <t>375/21</t>
  </si>
  <si>
    <t>Araceli Contreras</t>
  </si>
  <si>
    <t>33-1488-7070</t>
  </si>
  <si>
    <t>Fray Luis Jaime #780 Int 46 Col. Parques de Tesistán Zapopan</t>
  </si>
  <si>
    <t>Sala 3 p r r, Sillas a y r Prot</t>
  </si>
  <si>
    <t>376/21</t>
  </si>
  <si>
    <t>Erika Peña</t>
  </si>
  <si>
    <t>33-3377-8425</t>
  </si>
  <si>
    <t>Mariano Otero #5611 Col Arboledas Zapopan</t>
  </si>
  <si>
    <t>Colchón Mat Eco PURT</t>
  </si>
  <si>
    <t>Todo muy bien, nos vuelve a buscar</t>
  </si>
  <si>
    <t>374/21, 377/21</t>
  </si>
  <si>
    <t>Futón Healty, Sala de piel 8 p t f,</t>
  </si>
  <si>
    <t>Se manda WA, repite</t>
  </si>
  <si>
    <t>378/21</t>
  </si>
  <si>
    <t>Katia Aguirre</t>
  </si>
  <si>
    <t>33-1449-0306</t>
  </si>
  <si>
    <t>Los Robles #145 Coto Puerta Serena Int Hoja Palmeada #4 Zapopan</t>
  </si>
  <si>
    <t>Sala 4 p t f, Sillas A y r, Coj Senc</t>
  </si>
  <si>
    <t>379/21</t>
  </si>
  <si>
    <t>Daniel Estrada</t>
  </si>
  <si>
    <t>33-2244-6274</t>
  </si>
  <si>
    <t>Av Gral. Ramón Corona #2500 Casa 100 Fracc San Acasio Zapopan</t>
  </si>
  <si>
    <t>Interior camioneta tela Eco</t>
  </si>
  <si>
    <t>381/21</t>
  </si>
  <si>
    <t>Griselda Sáenz</t>
  </si>
  <si>
    <t>33-3677-7081</t>
  </si>
  <si>
    <t>Batalla de Calderón #3622 Fracc Hac de San Pedro Tlaquepaque</t>
  </si>
  <si>
    <t>Sillas a Prot, Sala 6 p a y r, Coj Protex</t>
  </si>
  <si>
    <t>Se manda WA, quedaro sucias de las esquinas</t>
  </si>
  <si>
    <t>Se manda WA, muy bueno el trabajo, muy satisfechos, nos recomendarán</t>
  </si>
  <si>
    <t>382/21</t>
  </si>
  <si>
    <t>Alejandra Ramírez</t>
  </si>
  <si>
    <t>33-2480-0412</t>
  </si>
  <si>
    <t>Agua Fría #2912 Col. El Campanario Zapopan</t>
  </si>
  <si>
    <t>Sillas a y r, Colchón KS Senc</t>
  </si>
  <si>
    <t>Gdl</t>
  </si>
  <si>
    <t>Tlaque</t>
  </si>
  <si>
    <t>Colchones KS, QS, Ind, Base KS, QS, Eco</t>
  </si>
  <si>
    <t>Sala 5 p r r, Tab piel, Coj Eco</t>
  </si>
  <si>
    <t>Carolina Briseño</t>
  </si>
  <si>
    <t>Sala 5 p t f, Interior Jetta tela Senc</t>
  </si>
  <si>
    <t>No llamar</t>
  </si>
  <si>
    <t>Octavio Aguilar</t>
  </si>
  <si>
    <t>Tlajo</t>
  </si>
  <si>
    <t>Tapete sint, sillas a y r, periqueras, senc, sala 1 p a y r, prot</t>
  </si>
  <si>
    <t>Administración y edificación en Retail</t>
  </si>
  <si>
    <t xml:space="preserve">Futón Healty, </t>
  </si>
  <si>
    <t>Sala 8 p t f, piel</t>
  </si>
  <si>
    <t>Colchón KS Antiácaros</t>
  </si>
  <si>
    <t>2 Tapete Sint Senc PURT</t>
  </si>
  <si>
    <t>Sala 4 p t r, Sillas a y r Banco Senc</t>
  </si>
  <si>
    <t xml:space="preserve">Colchones KS, Ind, Sala 5 p t f, Periqueras Sila 1 p t f Eco, </t>
  </si>
  <si>
    <t>sala 1p</t>
  </si>
  <si>
    <t>Sala 2p</t>
  </si>
  <si>
    <t>Almohada</t>
  </si>
  <si>
    <t>Peluche</t>
  </si>
  <si>
    <t>Bases</t>
  </si>
  <si>
    <t>383/21</t>
  </si>
  <si>
    <t>Mónica Maldonado</t>
  </si>
  <si>
    <t>33-1607-1371</t>
  </si>
  <si>
    <t>Coto Español Casa 133 Valle Imerial Zapopan</t>
  </si>
  <si>
    <t>Sala 5 p t f, Sillas a y r, Sillas r, Coj Senc</t>
  </si>
  <si>
    <t>Se manda WA, no las había visto</t>
  </si>
  <si>
    <t>Se manda WA, satisfecha, muy bien</t>
  </si>
  <si>
    <t>384/21</t>
  </si>
  <si>
    <t>Mercedes Diaque</t>
  </si>
  <si>
    <t>33-3631-0854</t>
  </si>
  <si>
    <t>Circunvalación Sur #132 Col. Las Fuentes Zapopan</t>
  </si>
  <si>
    <t>Se manda WA, Satisfactorio</t>
  </si>
  <si>
    <t>385/21</t>
  </si>
  <si>
    <t>Laura Montes</t>
  </si>
  <si>
    <t>33-3507-7393</t>
  </si>
  <si>
    <t>Paseo Reina Isabel #34 Col. Colinas del Rey Zapopan</t>
  </si>
  <si>
    <t>Sala 2 p r r, Sala 3 p t f, Prot</t>
  </si>
  <si>
    <t>386/21</t>
  </si>
  <si>
    <t>Ana Paulina Jiménez</t>
  </si>
  <si>
    <t>33-1489-8471</t>
  </si>
  <si>
    <t>Calle Lago Texcoco #2476 Col. Lagos de Country Zapopan</t>
  </si>
  <si>
    <t>Sala 5 p t f, Sillas a y r Senc</t>
  </si>
  <si>
    <t>74/21, 387/21</t>
  </si>
  <si>
    <t>Tapete sin Senc PURT, coj senc</t>
  </si>
  <si>
    <t>Colchones KS, Ind, Sala 5 p t f, Periqueras Sila 1 p t f Eco, Colcón KS Antiácaros, Sala 5 p t f, Prem</t>
  </si>
  <si>
    <t>Tapete sint, coj Senc, PURT</t>
  </si>
  <si>
    <t>388/21</t>
  </si>
  <si>
    <t>Celia Murguía Sanchez</t>
  </si>
  <si>
    <t>33-3806-7499</t>
  </si>
  <si>
    <t>Calle Cuenca #2434 Col Sta Elena Estadio Gdl</t>
  </si>
  <si>
    <t>Sala 5 p  t  f, Prem</t>
  </si>
  <si>
    <t>Se manda WA, muycontenta, super bonito</t>
  </si>
  <si>
    <t>368/21,369/21, 389/21</t>
  </si>
  <si>
    <t>Colchones KS, QS, Ind, Base KS, QS,Sala 5 pr r, Coj Eco, 4 tab piel, 6 Tapetes Senc</t>
  </si>
  <si>
    <t>390/21</t>
  </si>
  <si>
    <t>Leonardo Valera</t>
  </si>
  <si>
    <t>33-3368-5929</t>
  </si>
  <si>
    <t>Av Pemex #260 Jardín Central II Torre 9D Tlaquepaque</t>
  </si>
  <si>
    <t>2 Tapete sint Healty</t>
  </si>
  <si>
    <t>391/21</t>
  </si>
  <si>
    <t>Arely Ponce</t>
  </si>
  <si>
    <t>33-1463-3274</t>
  </si>
  <si>
    <t>Administradores #5558 Col. Arcos Gpe Zapopan</t>
  </si>
  <si>
    <t>Sala 4 p r r, Sala 3 p r r, Sala 6 p t f, Cama interna Senc</t>
  </si>
  <si>
    <t>6 Tapetes sint Senc</t>
  </si>
  <si>
    <t>Talque</t>
  </si>
  <si>
    <t>2 Tapetes Sint Healty</t>
  </si>
  <si>
    <t>392/21</t>
  </si>
  <si>
    <t>Beatriz Adriana Ruiz</t>
  </si>
  <si>
    <t>33-3339-8667</t>
  </si>
  <si>
    <t>Jardín de las Victorias este #139 Coto II Jardín Real Zapopan</t>
  </si>
  <si>
    <t>Sala 4 p r r, Coj, Sillas a y r Senc</t>
  </si>
  <si>
    <t>Se Manda WA, no contesta</t>
  </si>
  <si>
    <t>155/21, 393/21</t>
  </si>
  <si>
    <t>Reposet, sillas solo a Prem, Sillas a, Tapete de lana, Cojines Prem</t>
  </si>
  <si>
    <t>Alfombra, Prem, Se hace en 2 partes, Sala 6 p t f, Coj, Sala 8 p t f, Eco</t>
  </si>
  <si>
    <t>Sillas sólo a, Tapete de lana, Coj Prem</t>
  </si>
  <si>
    <t>395/21</t>
  </si>
  <si>
    <t>Luis Quiñones</t>
  </si>
  <si>
    <t>33-1910-3090</t>
  </si>
  <si>
    <t>Territorio Nal #1569 Conj Patria Zapopan</t>
  </si>
  <si>
    <t>Camioneta, Porta bebe Eco</t>
  </si>
  <si>
    <t>396/21</t>
  </si>
  <si>
    <t>Jesús Gutiérrez</t>
  </si>
  <si>
    <t>55-3119-1366</t>
  </si>
  <si>
    <t>Coto Jordán Vista del Río #561 casa 16 Tlaquepaque</t>
  </si>
  <si>
    <t>Sala 6 p t f, Interior de auto peq Prem</t>
  </si>
  <si>
    <t>Se manda WA el num no es</t>
  </si>
  <si>
    <t>397/21</t>
  </si>
  <si>
    <t>Héctor Tellería</t>
  </si>
  <si>
    <t>Tarascos #3514 Guadalajara</t>
  </si>
  <si>
    <t>33-3167-8065</t>
  </si>
  <si>
    <t>Se manda wa, que faltó aspirar el auto</t>
  </si>
  <si>
    <t>398/21</t>
  </si>
  <si>
    <t>Dora Ma Fernández</t>
  </si>
  <si>
    <t>33-3181-0119</t>
  </si>
  <si>
    <t>Juan Palomar y Arias #790 Depto 1 Col. Jardines Universidad Zapopan</t>
  </si>
  <si>
    <t>Sala 4 p t f, sala 1 p r r, Sala 7 p r r Senc</t>
  </si>
  <si>
    <t>Se manda WA, el servicio al 100</t>
  </si>
  <si>
    <t>399/21</t>
  </si>
  <si>
    <t>Ma Cristina Becerra</t>
  </si>
  <si>
    <t>33-1072-9853</t>
  </si>
  <si>
    <t>Buenos Aires #2615 Col. Providencia Zapopan</t>
  </si>
  <si>
    <t>Sala 6 p t f, Colchón Mat Senc</t>
  </si>
  <si>
    <t>Se manda WA, lo va a revisar</t>
  </si>
  <si>
    <t>400/21</t>
  </si>
  <si>
    <t>John Tobin</t>
  </si>
  <si>
    <t>33-3137-4259</t>
  </si>
  <si>
    <t>Av Lomas de Bugambilias # 1510 A 2 Cto. Puesta del Sol Zapopan</t>
  </si>
  <si>
    <t>Sala 4 p t r, Tab, 4 tapete sint, tapete Lana Healty</t>
  </si>
  <si>
    <t>Se mnada WA, le encantó</t>
  </si>
  <si>
    <t>401/21</t>
  </si>
  <si>
    <t>Marcia Hernández</t>
  </si>
  <si>
    <t>33-1804-5878</t>
  </si>
  <si>
    <t>Calle Granado Casa 28 Misión La Foresta Zapopan</t>
  </si>
  <si>
    <t>Colchon KS, Mat, 2 Ind Senc</t>
  </si>
  <si>
    <t>Martha Montaño</t>
  </si>
  <si>
    <t>33-1286-5717</t>
  </si>
  <si>
    <t>Lomas del infante #2148 Col. Lomas de Atemajac Zapopan</t>
  </si>
  <si>
    <t>Sala 6 p a r, Sillas a y r, Sillas a, Senc</t>
  </si>
  <si>
    <t>Se manda WA, un cambio increible</t>
  </si>
  <si>
    <t>403/21</t>
  </si>
  <si>
    <t>Alejandra Paola López Ramos</t>
  </si>
  <si>
    <t>Jardín del Bambu 69 Coto 2 Jardín real Zapopan</t>
  </si>
  <si>
    <t>Tapete sint Eco, PURT</t>
  </si>
  <si>
    <t>Alejandra Paola Lóipez Ramos</t>
  </si>
  <si>
    <t>Tapete sin Eco PURT</t>
  </si>
  <si>
    <t>404/21</t>
  </si>
  <si>
    <t>Héctor Miranda</t>
  </si>
  <si>
    <t>33-1042-8813</t>
  </si>
  <si>
    <t>Inglaterra #6363 Casa 37 Col. Paseos Universidad Zapopan</t>
  </si>
  <si>
    <t>6 Tapete Sint Healty</t>
  </si>
  <si>
    <t>405/21</t>
  </si>
  <si>
    <t>Aurora Avila</t>
  </si>
  <si>
    <t>33-1145-8476</t>
  </si>
  <si>
    <t>Paseo de Loma Larga #4348 Int 6 Coto Villa Uni Gdl</t>
  </si>
  <si>
    <t>Sala 5 p r r, Prem</t>
  </si>
  <si>
    <t>406/21</t>
  </si>
  <si>
    <t>Verónica Aguilar</t>
  </si>
  <si>
    <t>44-2359-0050</t>
  </si>
  <si>
    <t>Mexicaltzingo #2063 Col. Obrera Int 14 A Torre Prive Gdl</t>
  </si>
  <si>
    <t>Sala 5 p r r, Silla a y r Senc</t>
  </si>
  <si>
    <t>Se manda WA, les gustó bastante</t>
  </si>
  <si>
    <t>407/21</t>
  </si>
  <si>
    <t>Erik Narváez</t>
  </si>
  <si>
    <t>33-2226-1560</t>
  </si>
  <si>
    <t>Servidor público#1351 Zapopan</t>
  </si>
  <si>
    <t>Alfombra Healthy</t>
  </si>
  <si>
    <t>408/21</t>
  </si>
  <si>
    <t>Blanca Estela Gutiérrez</t>
  </si>
  <si>
    <t>66-7152-6696</t>
  </si>
  <si>
    <t>Zarzosa #516 Fracc La Rioja Av Lopez Mateos Sur # 7000 Tlajomulco</t>
  </si>
  <si>
    <t xml:space="preserve">Sala 2 p t f, Reposet, Silla a y r Prot PURT </t>
  </si>
  <si>
    <t xml:space="preserve">Se manda wa, quedaron manchas </t>
  </si>
  <si>
    <t>409/21</t>
  </si>
  <si>
    <t>Guillermo De la Paz Garibay</t>
  </si>
  <si>
    <t>34-1100-0334</t>
  </si>
  <si>
    <t>Dante Alghieri #680 Col Vallarta Universidad Zapopan</t>
  </si>
  <si>
    <t>169/21, 410/21</t>
  </si>
  <si>
    <t>Sala 5 p a r, Tapete Senc, Repite la sala Senc</t>
  </si>
  <si>
    <t>Se manda WA, quedó muy bien</t>
  </si>
  <si>
    <t>411/21</t>
  </si>
  <si>
    <t>Roberto Rosas</t>
  </si>
  <si>
    <t>33-1601-6762</t>
  </si>
  <si>
    <t>Ramón Corona #190 Gdl</t>
  </si>
  <si>
    <t>Tapete de lana Heaty</t>
  </si>
  <si>
    <t>412/21</t>
  </si>
  <si>
    <t>Maritza Lemus</t>
  </si>
  <si>
    <t>33-1042-4323</t>
  </si>
  <si>
    <t>Isla Pinos #2246 Gdl</t>
  </si>
  <si>
    <t>Sala 6 p t f, Sillas a, Senc</t>
  </si>
  <si>
    <t>Aún tiene el olor a vómito</t>
  </si>
  <si>
    <t>413/12</t>
  </si>
  <si>
    <t>Esperanza Alvarez</t>
  </si>
  <si>
    <t>33-3821-7050</t>
  </si>
  <si>
    <t>Calle 10 #2065 Col Ferrocarril Gdl</t>
  </si>
  <si>
    <t>414/21</t>
  </si>
  <si>
    <t>Salvador Carrillo</t>
  </si>
  <si>
    <t>33-3408-0908</t>
  </si>
  <si>
    <t>Mariano Otero #3815 Int 118 Col. Sta Ana Tepetitlán Zapopan</t>
  </si>
  <si>
    <t>Sala 6 p, t f, Colchón QS Senc</t>
  </si>
  <si>
    <t>415/21</t>
  </si>
  <si>
    <t>Guillermo Ruiz</t>
  </si>
  <si>
    <t>33-2384-4231</t>
  </si>
  <si>
    <t>Carr San Juan Esteban #635 Col. San Isidro Zapopan</t>
  </si>
  <si>
    <t>Sala 6 p t f senc</t>
  </si>
  <si>
    <t>Sala 5 p t f, Prem</t>
  </si>
  <si>
    <t xml:space="preserve">Mónica Gisela Guzmán </t>
  </si>
  <si>
    <t>Administración y Edif en Retail</t>
  </si>
  <si>
    <t>Sala 6 p t f, coj, Sala 8 p t f, Eco</t>
  </si>
  <si>
    <t>Sala 5 p r, Senc</t>
  </si>
  <si>
    <t>416/21</t>
  </si>
  <si>
    <t>Rodrigo Del Rio</t>
  </si>
  <si>
    <t>33-3807-1628</t>
  </si>
  <si>
    <t>Calle El Chaco #3154 Col. Colomos Providencia Zapopan</t>
  </si>
  <si>
    <t>Sala 12 p r, Coj Senc</t>
  </si>
  <si>
    <t>Se manda WA, quedó excelente, como nueva</t>
  </si>
  <si>
    <t>Se manda WA, quedo bien</t>
  </si>
  <si>
    <t>Se manda WA, todo muy bien, quedaron como nuevos</t>
  </si>
  <si>
    <t>417/21</t>
  </si>
  <si>
    <t>Esmeralda Castañeda</t>
  </si>
  <si>
    <t>33-1436-7294</t>
  </si>
  <si>
    <t>Briseño #713 Torre Platinum  Col. Santa Fe Zapopan</t>
  </si>
  <si>
    <t>Tapete sint Senc PURT</t>
  </si>
  <si>
    <t>418/21</t>
  </si>
  <si>
    <t>Karen Orozco/OV Iluminación</t>
  </si>
  <si>
    <t>33-1455-6779</t>
  </si>
  <si>
    <t>Calzada de los Paraísos #7205 Col. Cd Granja Zapopan</t>
  </si>
  <si>
    <t>Sillas Secret, Sillas Ejecutivas, Sala 1 p t f, Prot</t>
  </si>
  <si>
    <t>33-3571-8237</t>
  </si>
  <si>
    <t>419/21, 420/21</t>
  </si>
  <si>
    <t>Gilberto Sanchez/ Ruth Sarí Lomelí</t>
  </si>
  <si>
    <t>Calcuta #1034 Col. Cuauhtémoc, Guadalajara/ Agus Priv Olachea #280</t>
  </si>
  <si>
    <t>Sala 5 p t f, Senc PURT, Sillas a y r, Sala 1 p t f, Prem</t>
  </si>
  <si>
    <t xml:space="preserve"> Sillas a y r, Sala 1 p t f, Prem</t>
  </si>
  <si>
    <t>Sala 5 p t f, Senc PURT,</t>
  </si>
  <si>
    <t>421/21</t>
  </si>
  <si>
    <t>Esteban Farrera</t>
  </si>
  <si>
    <t>96-1593-1961</t>
  </si>
  <si>
    <t>Aviación #4412 Int 53 Coto El Real II Zapopan</t>
  </si>
  <si>
    <t>sala 6 p t f, sala 6 p t f, Sillas a y r Prot</t>
  </si>
  <si>
    <t>422/21</t>
  </si>
  <si>
    <t>Guadalupe Mora</t>
  </si>
  <si>
    <t>33-1254-6555</t>
  </si>
  <si>
    <t>Anáhuac # 294 -103 Col. Jardines del Sol Zapopan</t>
  </si>
  <si>
    <t>Futón Prem</t>
  </si>
  <si>
    <t>Se manda WA, quedó contento y muy buen servicio</t>
  </si>
  <si>
    <t>402/21, 423/21</t>
  </si>
  <si>
    <t>Sala 6 p a r, Sillas a y r, Sillas a, Senc, Colchón QS Prem</t>
  </si>
  <si>
    <t>Colchón QS Prem</t>
  </si>
  <si>
    <t>424/21</t>
  </si>
  <si>
    <t>Verónica de la Garza</t>
  </si>
  <si>
    <t>55-5503-9791</t>
  </si>
  <si>
    <t>Montevideo #3497 Int 11 E Torre 200 Col. Colinas de San Javier Zapopan</t>
  </si>
  <si>
    <t>Tapete algodón Prem, Tapete sint Senc PURT</t>
  </si>
  <si>
    <t>425/21</t>
  </si>
  <si>
    <t>Teresa González</t>
  </si>
  <si>
    <t>33-3167-7910</t>
  </si>
  <si>
    <t>Paseo de las Margaritas # 239 Col. Cd Buga Zapopan</t>
  </si>
  <si>
    <t>Alfombra, Sala 6 p t f, Senc</t>
  </si>
  <si>
    <t>SUPER GROSERO!</t>
  </si>
  <si>
    <t>426/21</t>
  </si>
  <si>
    <t>Lorena Galindo</t>
  </si>
  <si>
    <t>55-4955-1434</t>
  </si>
  <si>
    <t>Mar Bering #2108 Col. Country Gdl</t>
  </si>
  <si>
    <t>Sala 3 p t f, Eco PURT</t>
  </si>
  <si>
    <t>Se manda WA, perfectamente bien</t>
  </si>
  <si>
    <t>427/21</t>
  </si>
  <si>
    <t>José Antonio Pinelo</t>
  </si>
  <si>
    <t>33-3100-7620</t>
  </si>
  <si>
    <t>Calz Central #1255 Col. Cd Granja Zapopan</t>
  </si>
  <si>
    <t>Sala 3 p t r Prem, Sillas a y r, Banca Prot, Sala 2 p t r Eco, Cojines Senc</t>
  </si>
  <si>
    <t>Sala 11 p</t>
  </si>
  <si>
    <t>428/21</t>
  </si>
  <si>
    <t>Andrea Barragán</t>
  </si>
  <si>
    <t>33-1788-6114</t>
  </si>
  <si>
    <t>Paseo Reina Isabel #24-4 Col. Colinas del Rey Zapopan</t>
  </si>
  <si>
    <t>Colchón Mat Healty PURT</t>
  </si>
  <si>
    <t>Se manda WA; no contesta</t>
  </si>
  <si>
    <t>429/21</t>
  </si>
  <si>
    <t>Mauricio Castro</t>
  </si>
  <si>
    <t>55-3679-0827</t>
  </si>
  <si>
    <t>Av Valle real #900 Torre Eleve Depto 6 Col Valle Real Zapoapn</t>
  </si>
  <si>
    <t>103/21,173/21,202/21,430/21</t>
  </si>
  <si>
    <t>Alfombra Prot , tapete sint Prot</t>
  </si>
  <si>
    <t>Universidad Lamar</t>
  </si>
  <si>
    <t>Tapete sint Prot</t>
  </si>
  <si>
    <t>Nathalie Jimenez</t>
  </si>
  <si>
    <t>Sala 4 p r r, tab, Sillas a y r,Prot, 2 Tapetes sint Healt, Coj Prot</t>
  </si>
  <si>
    <t>Monica del Arenal / Juan Ignacio Michel</t>
  </si>
  <si>
    <t>Sala 4 p r r, Tab Prot</t>
  </si>
  <si>
    <t>Luis González</t>
  </si>
  <si>
    <t>Colchón KS, 2 Ind Healty</t>
  </si>
  <si>
    <t>Administración  y edificación Palacio</t>
  </si>
  <si>
    <t>Base cama, Camioneta Escape tela Senc</t>
  </si>
  <si>
    <t>Rodolfo Ramírez Aldaco</t>
  </si>
  <si>
    <t>Sala 4 p r r, tab Eco, PURT</t>
  </si>
  <si>
    <t>Tapete sint Eco PURT</t>
  </si>
  <si>
    <t>Héctor Zúñiga Ramírez</t>
  </si>
  <si>
    <t>Maribel Chávez</t>
  </si>
  <si>
    <t>Nancy Pérez</t>
  </si>
  <si>
    <t>113/21, 318/21, 372/21,394/21</t>
  </si>
  <si>
    <t>373/21,380/21,431/21</t>
  </si>
  <si>
    <t>Gloria González</t>
  </si>
  <si>
    <t>Jorge Adán Pérez</t>
  </si>
  <si>
    <t>PURT en asiento de coche</t>
  </si>
  <si>
    <t>Fue al taller, sin hoja de servicio</t>
  </si>
  <si>
    <t>Rodolfo Ramirez Aldaco / Mireya Calderón</t>
  </si>
  <si>
    <t>AR Home Desarrollos Inmobiliarios / Mireya Calderón</t>
  </si>
  <si>
    <t>Boulevard Asturias #200 Coto 4 Casa 10 A Col Santillana Parques Residencial Zapopan</t>
  </si>
  <si>
    <t>Ok</t>
  </si>
  <si>
    <t>Miguel Hidalgo #1990 Int 502 Col. Ladrón de Guevara Guadalajara</t>
  </si>
  <si>
    <t>Tipo de Repetición</t>
  </si>
  <si>
    <t>Entrada</t>
  </si>
  <si>
    <t>Salida</t>
  </si>
  <si>
    <t>1 Año 6 m</t>
  </si>
  <si>
    <t>335/21</t>
  </si>
  <si>
    <t>2 años</t>
  </si>
  <si>
    <t>Fernanda Sampaio</t>
  </si>
  <si>
    <t>2 Año 6 mes</t>
  </si>
  <si>
    <t>3 años</t>
  </si>
  <si>
    <t>OK</t>
  </si>
  <si>
    <t>Montserrat Verástegui / Jorge Zapata Cuevas</t>
  </si>
  <si>
    <t>3.5 años</t>
  </si>
  <si>
    <t>4 años</t>
  </si>
  <si>
    <t>4.5 años</t>
  </si>
  <si>
    <t>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</si>
</sst>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[$$-80A]* #,##0.00_-;\-[$$-80A]* #,##0.00_-;_-[$$-80A]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9978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2" fillId="2" borderId="0" xfId="0" applyFont="1" applyFill="1" applyAlignment="1">
      <alignment wrapText="1"/>
    </xf>
    <xf numFmtId="49" fontId="2" fillId="2" borderId="0" xfId="0" applyNumberFormat="1" applyFont="1" applyFill="1" applyAlignment="1">
      <alignment wrapText="1"/>
    </xf>
    <xf numFmtId="14" fontId="2" fillId="2" borderId="0" xfId="0" applyNumberFormat="1" applyFont="1" applyFill="1" applyAlignment="1">
      <alignment wrapText="1"/>
    </xf>
    <xf numFmtId="0" fontId="2" fillId="2" borderId="0" xfId="0" applyFont="1" applyFill="1"/>
    <xf numFmtId="164" fontId="2" fillId="2" borderId="0" xfId="1" applyFont="1" applyFill="1" applyAlignment="1">
      <alignment wrapText="1"/>
    </xf>
    <xf numFmtId="14" fontId="0" fillId="0" borderId="0" xfId="0" applyNumberFormat="1"/>
    <xf numFmtId="165" fontId="2" fillId="2" borderId="0" xfId="1" applyNumberFormat="1" applyFont="1" applyFill="1"/>
    <xf numFmtId="165" fontId="0" fillId="0" borderId="0" xfId="0" applyNumberFormat="1"/>
    <xf numFmtId="165" fontId="2" fillId="2" borderId="0" xfId="1" applyNumberFormat="1" applyFont="1" applyFill="1" applyAlignment="1">
      <alignment wrapText="1"/>
    </xf>
    <xf numFmtId="49" fontId="0" fillId="0" borderId="0" xfId="0" applyNumberFormat="1"/>
    <xf numFmtId="0" fontId="3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0" fontId="0" fillId="5" borderId="0" xfId="0" applyFill="1"/>
    <xf numFmtId="0" fontId="5" fillId="0" borderId="0" xfId="0" applyFont="1"/>
    <xf numFmtId="49" fontId="3" fillId="0" borderId="0" xfId="0" applyNumberFormat="1" applyFont="1"/>
    <xf numFmtId="0" fontId="0" fillId="6" borderId="0" xfId="0" applyFill="1"/>
    <xf numFmtId="0" fontId="6" fillId="0" borderId="0" xfId="0" applyFont="1"/>
    <xf numFmtId="0" fontId="0" fillId="7" borderId="0" xfId="0" applyFill="1" applyAlignment="1">
      <alignment horizontal="right"/>
    </xf>
    <xf numFmtId="0" fontId="0" fillId="8" borderId="0" xfId="0" applyFill="1"/>
    <xf numFmtId="0" fontId="7" fillId="0" borderId="0" xfId="0" applyFont="1"/>
    <xf numFmtId="0" fontId="0" fillId="7" borderId="0" xfId="0" applyFill="1"/>
    <xf numFmtId="0" fontId="8" fillId="0" borderId="0" xfId="2"/>
    <xf numFmtId="0" fontId="1" fillId="0" borderId="0" xfId="0" applyFon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4" xfId="0" applyNumberFormat="1" applyBorder="1"/>
    <xf numFmtId="0" fontId="0" fillId="0" borderId="5" xfId="0" applyBorder="1"/>
    <xf numFmtId="49" fontId="0" fillId="0" borderId="3" xfId="0" applyNumberFormat="1" applyBorder="1"/>
    <xf numFmtId="49" fontId="0" fillId="0" borderId="5" xfId="0" applyNumberFormat="1" applyBorder="1"/>
    <xf numFmtId="49" fontId="0" fillId="0" borderId="1" xfId="0" applyNumberFormat="1" applyBorder="1"/>
    <xf numFmtId="9" fontId="0" fillId="0" borderId="4" xfId="3" applyFont="1" applyBorder="1"/>
    <xf numFmtId="9" fontId="0" fillId="0" borderId="6" xfId="3" applyFont="1" applyBorder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5" xfId="0" applyFill="1" applyBorder="1"/>
    <xf numFmtId="0" fontId="0" fillId="10" borderId="0" xfId="0" applyFill="1"/>
    <xf numFmtId="164" fontId="0" fillId="0" borderId="6" xfId="1" applyFont="1" applyBorder="1"/>
    <xf numFmtId="9" fontId="0" fillId="10" borderId="4" xfId="3" applyFont="1" applyFill="1" applyBorder="1"/>
    <xf numFmtId="9" fontId="0" fillId="10" borderId="6" xfId="3" applyFont="1" applyFill="1" applyBorder="1"/>
    <xf numFmtId="9" fontId="0" fillId="0" borderId="0" xfId="3" applyFont="1"/>
    <xf numFmtId="9" fontId="2" fillId="2" borderId="0" xfId="3" applyFont="1" applyFill="1"/>
    <xf numFmtId="9" fontId="0" fillId="0" borderId="2" xfId="3" applyFont="1" applyBorder="1"/>
    <xf numFmtId="9" fontId="0" fillId="0" borderId="0" xfId="3" applyFont="1" applyBorder="1"/>
    <xf numFmtId="165" fontId="0" fillId="0" borderId="4" xfId="3" applyNumberFormat="1" applyFont="1" applyBorder="1"/>
    <xf numFmtId="164" fontId="0" fillId="0" borderId="4" xfId="1" applyFont="1" applyBorder="1"/>
    <xf numFmtId="165" fontId="0" fillId="0" borderId="6" xfId="0" applyNumberFormat="1" applyBorder="1"/>
    <xf numFmtId="164" fontId="0" fillId="0" borderId="0" xfId="1" applyFont="1"/>
    <xf numFmtId="0" fontId="0" fillId="9" borderId="7" xfId="0" applyFill="1" applyBorder="1"/>
    <xf numFmtId="164" fontId="0" fillId="9" borderId="7" xfId="1" applyFont="1" applyFill="1" applyBorder="1"/>
    <xf numFmtId="164" fontId="0" fillId="0" borderId="7" xfId="1" applyFont="1" applyBorder="1"/>
    <xf numFmtId="9" fontId="0" fillId="9" borderId="7" xfId="3" applyFont="1" applyFill="1" applyBorder="1"/>
    <xf numFmtId="9" fontId="0" fillId="0" borderId="7" xfId="3" applyFont="1" applyBorder="1"/>
    <xf numFmtId="1" fontId="0" fillId="9" borderId="7" xfId="1" applyNumberFormat="1" applyFont="1" applyFill="1" applyBorder="1"/>
    <xf numFmtId="1" fontId="0" fillId="0" borderId="7" xfId="1" applyNumberFormat="1" applyFont="1" applyBorder="1"/>
    <xf numFmtId="1" fontId="0" fillId="0" borderId="0" xfId="1" applyNumberFormat="1" applyFont="1"/>
    <xf numFmtId="0" fontId="0" fillId="0" borderId="10" xfId="0" applyBorder="1"/>
    <xf numFmtId="0" fontId="0" fillId="0" borderId="11" xfId="0" applyBorder="1"/>
    <xf numFmtId="164" fontId="3" fillId="9" borderId="7" xfId="1" applyFont="1" applyFill="1" applyBorder="1"/>
    <xf numFmtId="164" fontId="9" fillId="0" borderId="7" xfId="1" applyFont="1" applyBorder="1"/>
    <xf numFmtId="0" fontId="0" fillId="9" borderId="16" xfId="0" applyFill="1" applyBorder="1"/>
    <xf numFmtId="0" fontId="0" fillId="9" borderId="15" xfId="0" applyFill="1" applyBorder="1"/>
    <xf numFmtId="0" fontId="0" fillId="9" borderId="17" xfId="0" applyFill="1" applyBorder="1"/>
    <xf numFmtId="9" fontId="0" fillId="0" borderId="16" xfId="3" applyFont="1" applyBorder="1"/>
    <xf numFmtId="9" fontId="0" fillId="0" borderId="18" xfId="3" applyFont="1" applyBorder="1"/>
    <xf numFmtId="9" fontId="0" fillId="0" borderId="19" xfId="3" applyFont="1" applyBorder="1"/>
    <xf numFmtId="1" fontId="0" fillId="9" borderId="15" xfId="0" applyNumberFormat="1" applyFill="1" applyBorder="1"/>
    <xf numFmtId="1" fontId="0" fillId="9" borderId="17" xfId="0" applyNumberFormat="1" applyFill="1" applyBorder="1"/>
    <xf numFmtId="9" fontId="0" fillId="0" borderId="7" xfId="3" applyFont="1" applyFill="1" applyBorder="1"/>
    <xf numFmtId="9" fontId="0" fillId="0" borderId="18" xfId="3" applyFont="1" applyFill="1" applyBorder="1"/>
    <xf numFmtId="0" fontId="0" fillId="9" borderId="12" xfId="0" applyFill="1" applyBorder="1"/>
    <xf numFmtId="0" fontId="0" fillId="9" borderId="15" xfId="0" applyFill="1" applyBorder="1" applyAlignment="1">
      <alignment horizontal="left"/>
    </xf>
    <xf numFmtId="9" fontId="0" fillId="10" borderId="7" xfId="3" applyFont="1" applyFill="1" applyBorder="1"/>
    <xf numFmtId="164" fontId="1" fillId="9" borderId="7" xfId="1" applyFont="1" applyFill="1" applyBorder="1"/>
    <xf numFmtId="0" fontId="10" fillId="3" borderId="0" xfId="0" applyFont="1" applyFill="1"/>
    <xf numFmtId="9" fontId="0" fillId="0" borderId="8" xfId="3" applyFont="1" applyBorder="1"/>
    <xf numFmtId="9" fontId="0" fillId="0" borderId="22" xfId="3" applyFont="1" applyBorder="1"/>
    <xf numFmtId="9" fontId="0" fillId="0" borderId="14" xfId="3" applyFont="1" applyBorder="1"/>
    <xf numFmtId="0" fontId="0" fillId="9" borderId="23" xfId="0" applyFill="1" applyBorder="1"/>
    <xf numFmtId="0" fontId="0" fillId="9" borderId="9" xfId="0" applyFill="1" applyBorder="1"/>
    <xf numFmtId="0" fontId="0" fillId="9" borderId="24" xfId="0" applyFill="1" applyBorder="1"/>
    <xf numFmtId="1" fontId="0" fillId="9" borderId="12" xfId="0" applyNumberFormat="1" applyFill="1" applyBorder="1"/>
    <xf numFmtId="9" fontId="0" fillId="10" borderId="8" xfId="3" applyFont="1" applyFill="1" applyBorder="1"/>
    <xf numFmtId="0" fontId="0" fillId="9" borderId="12" xfId="0" applyFill="1" applyBorder="1" applyAlignment="1">
      <alignment horizontal="left"/>
    </xf>
    <xf numFmtId="0" fontId="0" fillId="9" borderId="25" xfId="0" applyFill="1" applyBorder="1"/>
    <xf numFmtId="9" fontId="0" fillId="0" borderId="26" xfId="3" applyFont="1" applyBorder="1"/>
    <xf numFmtId="14" fontId="0" fillId="10" borderId="0" xfId="0" applyNumberFormat="1" applyFill="1"/>
    <xf numFmtId="164" fontId="0" fillId="10" borderId="0" xfId="1" applyFont="1" applyFill="1"/>
    <xf numFmtId="9" fontId="0" fillId="10" borderId="0" xfId="3" applyFont="1" applyFill="1"/>
    <xf numFmtId="165" fontId="0" fillId="10" borderId="0" xfId="0" applyNumberFormat="1" applyFill="1"/>
    <xf numFmtId="164" fontId="0" fillId="10" borderId="4" xfId="1" applyFont="1" applyFill="1" applyBorder="1"/>
    <xf numFmtId="164" fontId="0" fillId="10" borderId="6" xfId="1" applyFont="1" applyFill="1" applyBorder="1"/>
    <xf numFmtId="9" fontId="0" fillId="10" borderId="2" xfId="3" applyFont="1" applyFill="1" applyBorder="1"/>
    <xf numFmtId="9" fontId="0" fillId="10" borderId="0" xfId="3" applyFont="1" applyFill="1" applyBorder="1"/>
    <xf numFmtId="9" fontId="0" fillId="9" borderId="0" xfId="3" applyFont="1" applyFill="1" applyBorder="1"/>
    <xf numFmtId="49" fontId="0" fillId="0" borderId="0" xfId="0" quotePrefix="1" applyNumberFormat="1"/>
    <xf numFmtId="49" fontId="0" fillId="11" borderId="0" xfId="0" applyNumberFormat="1" applyFill="1"/>
    <xf numFmtId="49" fontId="0" fillId="12" borderId="0" xfId="0" applyNumberFormat="1" applyFill="1"/>
    <xf numFmtId="49" fontId="0" fillId="13" borderId="0" xfId="0" applyNumberFormat="1" applyFill="1"/>
    <xf numFmtId="49" fontId="7" fillId="13" borderId="0" xfId="0" applyNumberFormat="1" applyFont="1" applyFill="1"/>
    <xf numFmtId="49" fontId="0" fillId="11" borderId="0" xfId="0" quotePrefix="1" applyNumberFormat="1" applyFill="1"/>
    <xf numFmtId="0" fontId="0" fillId="9" borderId="0" xfId="0" applyFill="1" applyAlignment="1">
      <alignment horizontal="center"/>
    </xf>
    <xf numFmtId="9" fontId="0" fillId="9" borderId="8" xfId="3" applyFont="1" applyFill="1" applyBorder="1" applyAlignment="1">
      <alignment horizontal="center"/>
    </xf>
    <xf numFmtId="9" fontId="0" fillId="9" borderId="9" xfId="3" applyFont="1" applyFill="1" applyBorder="1" applyAlignment="1">
      <alignment horizontal="center"/>
    </xf>
    <xf numFmtId="9" fontId="0" fillId="9" borderId="7" xfId="3" applyFont="1" applyFill="1" applyBorder="1" applyAlignment="1">
      <alignment horizontal="center"/>
    </xf>
    <xf numFmtId="9" fontId="0" fillId="9" borderId="13" xfId="3" applyFont="1" applyFill="1" applyBorder="1" applyAlignment="1">
      <alignment horizontal="center"/>
    </xf>
    <xf numFmtId="9" fontId="0" fillId="9" borderId="14" xfId="3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21" xfId="0" applyFill="1" applyBorder="1" applyAlignment="1">
      <alignment horizontal="center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3997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/>
              <a:t>Ventas brutas vs Utilidad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2062554680665"/>
          <c:y val="0.25967592592592598"/>
          <c:w val="0.77450896762904642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v>Venta bruta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invertIfNegative val="0"/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2021'!$B$2:$B$13</c:f>
              <c:numCache>
                <c:formatCode>_-"$"* #,##0.00_-;\-"$"* #,##0.00_-;_-"$"* "-"??_-;_-@_-</c:formatCode>
                <c:ptCount val="12"/>
                <c:pt idx="0">
                  <c:v>16045.92</c:v>
                </c:pt>
                <c:pt idx="1">
                  <c:v>38352.899999999994</c:v>
                </c:pt>
                <c:pt idx="2">
                  <c:v>21324.57</c:v>
                </c:pt>
                <c:pt idx="3">
                  <c:v>47754.239999999998</c:v>
                </c:pt>
                <c:pt idx="4">
                  <c:v>57403.159999999996</c:v>
                </c:pt>
                <c:pt idx="5">
                  <c:v>60623.219999999994</c:v>
                </c:pt>
                <c:pt idx="6">
                  <c:v>58659.83</c:v>
                </c:pt>
                <c:pt idx="7">
                  <c:v>78720.869999999981</c:v>
                </c:pt>
                <c:pt idx="8">
                  <c:v>54824.939999999995</c:v>
                </c:pt>
                <c:pt idx="9">
                  <c:v>79860.99000000002</c:v>
                </c:pt>
                <c:pt idx="10">
                  <c:v>59564.959999999992</c:v>
                </c:pt>
                <c:pt idx="11">
                  <c:v>71070.149999999994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D-416B-A725-D1E1A9B22593}"/>
            </c:ext>
          </c:extLst>
        </c:ser>
        <c:ser>
          <c:idx val="2"/>
          <c:order val="1"/>
          <c:tx>
            <c:v>Venta total</c:v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invertIfNegative val="0"/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2021'!$D$2:$D$13</c:f>
              <c:numCache>
                <c:formatCode>_-"$"* #,##0.00_-;\-"$"* #,##0.00_-;_-"$"* "-"??_-;_-@_-</c:formatCode>
                <c:ptCount val="12"/>
                <c:pt idx="0">
                  <c:v>-6579.08</c:v>
                </c:pt>
                <c:pt idx="1">
                  <c:v>19203.079999999994</c:v>
                </c:pt>
                <c:pt idx="2">
                  <c:v>-2497.5000000000036</c:v>
                </c:pt>
                <c:pt idx="3">
                  <c:v>21094.13</c:v>
                </c:pt>
                <c:pt idx="4">
                  <c:v>30150.559999999998</c:v>
                </c:pt>
                <c:pt idx="5">
                  <c:v>25530.569999999992</c:v>
                </c:pt>
                <c:pt idx="6">
                  <c:v>19660.930000000008</c:v>
                </c:pt>
                <c:pt idx="7">
                  <c:v>44645.39999999998</c:v>
                </c:pt>
                <c:pt idx="8">
                  <c:v>20865.189999999995</c:v>
                </c:pt>
                <c:pt idx="9">
                  <c:v>39322.060000000027</c:v>
                </c:pt>
                <c:pt idx="10">
                  <c:v>18836.339999999989</c:v>
                </c:pt>
                <c:pt idx="11">
                  <c:v>28644.489999999991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4D-416B-A725-D1E1A9B22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281920"/>
        <c:axId val="247291904"/>
      </c:barChart>
      <c:catAx>
        <c:axId val="24728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291904"/>
        <c:crosses val="autoZero"/>
        <c:auto val="1"/>
        <c:lblAlgn val="ctr"/>
        <c:lblOffset val="100"/>
        <c:noMultiLvlLbl val="0"/>
      </c:catAx>
      <c:valAx>
        <c:axId val="247291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28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Venta diaria vs venta promedio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'Estadísticas finales 2021'!$E$1</c:f>
              <c:strCache>
                <c:ptCount val="1"/>
                <c:pt idx="0">
                  <c:v> Venta diaria 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invertIfNegative val="0"/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2021'!$E$2:$E$13</c:f>
              <c:numCache>
                <c:formatCode>_-"$"* #,##0.00_-;\-"$"* #,##0.00_-;_-"$"* "-"??_-;_-@_-</c:formatCode>
                <c:ptCount val="12"/>
                <c:pt idx="0">
                  <c:v>729.67818181818177</c:v>
                </c:pt>
                <c:pt idx="1">
                  <c:v>1667.5173913043475</c:v>
                </c:pt>
                <c:pt idx="2">
                  <c:v>820.92153846153838</c:v>
                </c:pt>
                <c:pt idx="3">
                  <c:v>2061.0113043478259</c:v>
                </c:pt>
                <c:pt idx="4">
                  <c:v>2454.8441666666672</c:v>
                </c:pt>
                <c:pt idx="5">
                  <c:v>2525.9674999999997</c:v>
                </c:pt>
                <c:pt idx="6">
                  <c:v>2444.1595833333336</c:v>
                </c:pt>
                <c:pt idx="7">
                  <c:v>3011.9903846153848</c:v>
                </c:pt>
                <c:pt idx="8">
                  <c:v>2271.5724999999998</c:v>
                </c:pt>
                <c:pt idx="9">
                  <c:v>3067.9226923076931</c:v>
                </c:pt>
                <c:pt idx="10">
                  <c:v>2382.5983999999999</c:v>
                </c:pt>
                <c:pt idx="11">
                  <c:v>2903.1312499999999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67-4EE0-BE61-5435A7D702BE}"/>
            </c:ext>
          </c:extLst>
        </c:ser>
        <c:ser>
          <c:idx val="4"/>
          <c:order val="1"/>
          <c:tx>
            <c:strRef>
              <c:f>'Estadísticas finales 2021'!$F$1</c:f>
              <c:strCache>
                <c:ptCount val="1"/>
                <c:pt idx="0">
                  <c:v> Venta promedio 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invertIfNegative val="0"/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2021'!$F$2:$F$13</c:f>
              <c:numCache>
                <c:formatCode>_-"$"* #,##0.00_-;\-"$"* #,##0.00_-;_-"$"* "-"??_-;_-@_-</c:formatCode>
                <c:ptCount val="12"/>
                <c:pt idx="0">
                  <c:v>1604.5920000000001</c:v>
                </c:pt>
                <c:pt idx="1">
                  <c:v>1917.6449999999998</c:v>
                </c:pt>
                <c:pt idx="2">
                  <c:v>1523.1835714285714</c:v>
                </c:pt>
                <c:pt idx="3">
                  <c:v>1404.5364705882353</c:v>
                </c:pt>
                <c:pt idx="4">
                  <c:v>1435.079</c:v>
                </c:pt>
                <c:pt idx="5">
                  <c:v>1347.1826666666666</c:v>
                </c:pt>
                <c:pt idx="6">
                  <c:v>1222.0797916666668</c:v>
                </c:pt>
                <c:pt idx="7">
                  <c:v>1606.5483673469384</c:v>
                </c:pt>
                <c:pt idx="8">
                  <c:v>1370.6234999999999</c:v>
                </c:pt>
                <c:pt idx="9">
                  <c:v>1736.10847826087</c:v>
                </c:pt>
                <c:pt idx="10">
                  <c:v>1452.8039024390241</c:v>
                </c:pt>
                <c:pt idx="11">
                  <c:v>1615.2306818181817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67-4EE0-BE61-5435A7D70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342976"/>
        <c:axId val="247344512"/>
      </c:barChart>
      <c:catAx>
        <c:axId val="2473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344512"/>
        <c:crosses val="autoZero"/>
        <c:auto val="1"/>
        <c:lblAlgn val="ctr"/>
        <c:lblOffset val="100"/>
        <c:noMultiLvlLbl val="0"/>
      </c:catAx>
      <c:valAx>
        <c:axId val="247344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34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/>
              <a:t>No. de servicios por mes</a:t>
            </a:r>
          </a:p>
        </c:rich>
      </c:tx>
      <c:layout>
        <c:manualLayout>
          <c:xMode val="edge"/>
          <c:yMode val="edge"/>
          <c:x val="0.34760835876389407"/>
          <c:y val="2.992139193788045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2062554680665"/>
          <c:y val="0.31060185185185185"/>
          <c:w val="0.77450896762904642"/>
          <c:h val="0.54380322251385238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'Estadísticas finales 2021'!$G$1</c:f>
              <c:strCache>
                <c:ptCount val="1"/>
                <c:pt idx="0">
                  <c:v>No. Servicios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invertIfNegative val="0"/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2021'!$G$2:$G$13</c:f>
              <c:numCache>
                <c:formatCode>0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14</c:v>
                </c:pt>
                <c:pt idx="3">
                  <c:v>34</c:v>
                </c:pt>
                <c:pt idx="4">
                  <c:v>40</c:v>
                </c:pt>
                <c:pt idx="5">
                  <c:v>45</c:v>
                </c:pt>
                <c:pt idx="6">
                  <c:v>48</c:v>
                </c:pt>
                <c:pt idx="7">
                  <c:v>49</c:v>
                </c:pt>
                <c:pt idx="8">
                  <c:v>40</c:v>
                </c:pt>
                <c:pt idx="9">
                  <c:v>46</c:v>
                </c:pt>
                <c:pt idx="10">
                  <c:v>41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CA-4B42-95B8-7D6081CD1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377920"/>
        <c:axId val="247379456"/>
      </c:barChart>
      <c:catAx>
        <c:axId val="24737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379456"/>
        <c:crosses val="autoZero"/>
        <c:auto val="1"/>
        <c:lblAlgn val="ctr"/>
        <c:lblOffset val="100"/>
        <c:noMultiLvlLbl val="0"/>
      </c:catAx>
      <c:valAx>
        <c:axId val="247379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37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 de cliente residencial en venta bruta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 2021'!$B$1</c:f>
              <c:strCache>
                <c:ptCount val="1"/>
                <c:pt idx="0">
                  <c:v> Venta mensual bruta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2021'!$B$2:$B$13</c:f>
              <c:numCache>
                <c:formatCode>_-"$"* #,##0.00_-;\-"$"* #,##0.00_-;_-"$"* "-"??_-;_-@_-</c:formatCode>
                <c:ptCount val="12"/>
                <c:pt idx="0">
                  <c:v>16045.92</c:v>
                </c:pt>
                <c:pt idx="1">
                  <c:v>38352.899999999994</c:v>
                </c:pt>
                <c:pt idx="2">
                  <c:v>21324.57</c:v>
                </c:pt>
                <c:pt idx="3">
                  <c:v>47754.239999999998</c:v>
                </c:pt>
                <c:pt idx="4">
                  <c:v>57403.159999999996</c:v>
                </c:pt>
                <c:pt idx="5">
                  <c:v>60623.219999999994</c:v>
                </c:pt>
                <c:pt idx="6">
                  <c:v>58659.83</c:v>
                </c:pt>
                <c:pt idx="7">
                  <c:v>78720.869999999981</c:v>
                </c:pt>
                <c:pt idx="8">
                  <c:v>54824.939999999995</c:v>
                </c:pt>
                <c:pt idx="9">
                  <c:v>79860.99000000002</c:v>
                </c:pt>
                <c:pt idx="10">
                  <c:v>59564.959999999992</c:v>
                </c:pt>
                <c:pt idx="11">
                  <c:v>71070.149999999994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F-4B6A-8325-AAE525DFE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406976"/>
        <c:axId val="247408512"/>
      </c:barChart>
      <c:lineChart>
        <c:grouping val="standard"/>
        <c:varyColors val="0"/>
        <c:ser>
          <c:idx val="6"/>
          <c:order val="1"/>
          <c:tx>
            <c:strRef>
              <c:f>'Estadísticas finales 2021'!$H$1</c:f>
              <c:strCache>
                <c:ptCount val="1"/>
                <c:pt idx="0">
                  <c:v>% Cliente Res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2021'!$H$2:$H$13</c:f>
              <c:numCache>
                <c:formatCode>0%</c:formatCode>
                <c:ptCount val="12"/>
                <c:pt idx="0">
                  <c:v>1</c:v>
                </c:pt>
                <c:pt idx="1">
                  <c:v>0.95</c:v>
                </c:pt>
                <c:pt idx="2">
                  <c:v>0.93</c:v>
                </c:pt>
                <c:pt idx="3">
                  <c:v>0.94</c:v>
                </c:pt>
                <c:pt idx="4">
                  <c:v>0.88</c:v>
                </c:pt>
                <c:pt idx="5">
                  <c:v>0.91</c:v>
                </c:pt>
                <c:pt idx="6">
                  <c:v>0.94</c:v>
                </c:pt>
                <c:pt idx="7">
                  <c:v>0.88</c:v>
                </c:pt>
                <c:pt idx="8">
                  <c:v>0.95</c:v>
                </c:pt>
                <c:pt idx="9">
                  <c:v>0.89</c:v>
                </c:pt>
                <c:pt idx="10">
                  <c:v>0.95</c:v>
                </c:pt>
                <c:pt idx="1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DF-4B6A-8325-AAE525DFE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24128"/>
        <c:axId val="247410048"/>
      </c:lineChart>
      <c:catAx>
        <c:axId val="24740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08512"/>
        <c:crosses val="autoZero"/>
        <c:auto val="1"/>
        <c:lblAlgn val="ctr"/>
        <c:lblOffset val="100"/>
        <c:noMultiLvlLbl val="0"/>
      </c:catAx>
      <c:valAx>
        <c:axId val="24740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06976"/>
        <c:crosses val="autoZero"/>
        <c:crossBetween val="between"/>
      </c:valAx>
      <c:valAx>
        <c:axId val="24741004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24128"/>
        <c:crosses val="max"/>
        <c:crossBetween val="between"/>
      </c:valAx>
      <c:catAx>
        <c:axId val="247424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7410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 de repetición en venta bruta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 2021'!$B$1</c:f>
              <c:strCache>
                <c:ptCount val="1"/>
                <c:pt idx="0">
                  <c:v> Venta mensual bruta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2021'!$B$2:$B$13</c:f>
              <c:numCache>
                <c:formatCode>_-"$"* #,##0.00_-;\-"$"* #,##0.00_-;_-"$"* "-"??_-;_-@_-</c:formatCode>
                <c:ptCount val="12"/>
                <c:pt idx="0">
                  <c:v>16045.92</c:v>
                </c:pt>
                <c:pt idx="1">
                  <c:v>38352.899999999994</c:v>
                </c:pt>
                <c:pt idx="2">
                  <c:v>21324.57</c:v>
                </c:pt>
                <c:pt idx="3">
                  <c:v>47754.239999999998</c:v>
                </c:pt>
                <c:pt idx="4">
                  <c:v>57403.159999999996</c:v>
                </c:pt>
                <c:pt idx="5">
                  <c:v>60623.219999999994</c:v>
                </c:pt>
                <c:pt idx="6">
                  <c:v>58659.83</c:v>
                </c:pt>
                <c:pt idx="7">
                  <c:v>78720.869999999981</c:v>
                </c:pt>
                <c:pt idx="8">
                  <c:v>54824.939999999995</c:v>
                </c:pt>
                <c:pt idx="9">
                  <c:v>79860.99000000002</c:v>
                </c:pt>
                <c:pt idx="10">
                  <c:v>59564.959999999992</c:v>
                </c:pt>
                <c:pt idx="11">
                  <c:v>71070.149999999994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2-4835-A044-B358CA079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459840"/>
        <c:axId val="247461376"/>
      </c:barChart>
      <c:lineChart>
        <c:grouping val="standard"/>
        <c:varyColors val="0"/>
        <c:ser>
          <c:idx val="7"/>
          <c:order val="1"/>
          <c:tx>
            <c:strRef>
              <c:f>'Estadísticas finales 2021'!$J$1</c:f>
              <c:strCache>
                <c:ptCount val="1"/>
                <c:pt idx="0">
                  <c:v>% Rep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2021'!$J$2:$J$13</c:f>
              <c:numCache>
                <c:formatCode>0%</c:formatCode>
                <c:ptCount val="12"/>
                <c:pt idx="0">
                  <c:v>0</c:v>
                </c:pt>
                <c:pt idx="1">
                  <c:v>0.15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0.13</c:v>
                </c:pt>
                <c:pt idx="7">
                  <c:v>0.12</c:v>
                </c:pt>
                <c:pt idx="8">
                  <c:v>0.15</c:v>
                </c:pt>
                <c:pt idx="9">
                  <c:v>0.22</c:v>
                </c:pt>
                <c:pt idx="10">
                  <c:v>0.24</c:v>
                </c:pt>
                <c:pt idx="11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C2-4835-A044-B358CA079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157504"/>
        <c:axId val="247462912"/>
      </c:lineChart>
      <c:catAx>
        <c:axId val="2474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61376"/>
        <c:crosses val="autoZero"/>
        <c:auto val="1"/>
        <c:lblAlgn val="ctr"/>
        <c:lblOffset val="100"/>
        <c:noMultiLvlLbl val="0"/>
      </c:catAx>
      <c:valAx>
        <c:axId val="2474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59840"/>
        <c:crosses val="autoZero"/>
        <c:crossBetween val="between"/>
      </c:valAx>
      <c:valAx>
        <c:axId val="24746291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157504"/>
        <c:crosses val="max"/>
        <c:crossBetween val="between"/>
      </c:valAx>
      <c:catAx>
        <c:axId val="247157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7462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 de mueble en venta bruta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 2021'!$B$1</c:f>
              <c:strCache>
                <c:ptCount val="1"/>
                <c:pt idx="0">
                  <c:v> Venta mensual bruta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92CC8D7-8F42-475B-9332-E337A3E975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CCE-4354-9308-EC13FE13D4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469371-24F0-3F4F-A093-6C03A71174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CE-4354-9308-EC13FE13D4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8D8A85-2D28-0A44-8108-05AA46D7F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CE-4354-9308-EC13FE13D4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49783E8-4D12-6547-9AC7-00CEB81B25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CE-4354-9308-EC13FE13D4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8C902B6-DAB3-A44A-B31A-2C30F6E7F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CCE-4354-9308-EC13FE13D4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1DA9826-D639-6F45-89C9-07B7037AC6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CCE-4354-9308-EC13FE13D4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DF1A87B-E78E-A845-A942-079A128CF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CCE-4354-9308-EC13FE13D4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BC01113-1760-D04D-83D0-3B7162E7A7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CCE-4354-9308-EC13FE13D4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A26626-CCE5-AB42-A9A5-F3B990EEB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CCE-4354-9308-EC13FE13D4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CA3E9FE-798E-734C-83C0-292A5856E3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CCE-4354-9308-EC13FE13D4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73B5BD6-3568-B544-B9E3-3D42ECDDBD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CCE-4354-9308-EC13FE13D4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FF71C9E-E0FA-734B-B1DD-802420AB3F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CCE-4354-9308-EC13FE13D4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2021'!$B$2:$B$13</c:f>
              <c:numCache>
                <c:formatCode>_-"$"* #,##0.00_-;\-"$"* #,##0.00_-;_-"$"* "-"??_-;_-@_-</c:formatCode>
                <c:ptCount val="12"/>
                <c:pt idx="0">
                  <c:v>16045.92</c:v>
                </c:pt>
                <c:pt idx="1">
                  <c:v>38352.899999999994</c:v>
                </c:pt>
                <c:pt idx="2">
                  <c:v>21324.57</c:v>
                </c:pt>
                <c:pt idx="3">
                  <c:v>47754.239999999998</c:v>
                </c:pt>
                <c:pt idx="4">
                  <c:v>57403.159999999996</c:v>
                </c:pt>
                <c:pt idx="5">
                  <c:v>60623.219999999994</c:v>
                </c:pt>
                <c:pt idx="6">
                  <c:v>58659.83</c:v>
                </c:pt>
                <c:pt idx="7">
                  <c:v>78720.869999999981</c:v>
                </c:pt>
                <c:pt idx="8">
                  <c:v>54824.939999999995</c:v>
                </c:pt>
                <c:pt idx="9">
                  <c:v>79860.99000000002</c:v>
                </c:pt>
                <c:pt idx="10">
                  <c:v>59564.959999999992</c:v>
                </c:pt>
                <c:pt idx="11">
                  <c:v>71070.149999999994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'Estadísticas finales 2021'!$K$2:$K$13</c15:f>
                <c15:dlblRangeCache>
                  <c:ptCount val="12"/>
                  <c:pt idx="0">
                    <c:v>Tapete, Sala, Colchón</c:v>
                  </c:pt>
                  <c:pt idx="1">
                    <c:v>Colchones</c:v>
                  </c:pt>
                  <c:pt idx="2">
                    <c:v>Tapete, Sala Sillas</c:v>
                  </c:pt>
                  <c:pt idx="3">
                    <c:v>Sala</c:v>
                  </c:pt>
                  <c:pt idx="4">
                    <c:v>Sala</c:v>
                  </c:pt>
                  <c:pt idx="5">
                    <c:v>Sala</c:v>
                  </c:pt>
                  <c:pt idx="6">
                    <c:v>Sala</c:v>
                  </c:pt>
                  <c:pt idx="7">
                    <c:v>Sala </c:v>
                  </c:pt>
                  <c:pt idx="8">
                    <c:v>Sala</c:v>
                  </c:pt>
                  <c:pt idx="9">
                    <c:v>Sala</c:v>
                  </c:pt>
                  <c:pt idx="10">
                    <c:v>Tapete</c:v>
                  </c:pt>
                  <c:pt idx="11">
                    <c:v>Sala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CCE-4354-9308-EC13FE13D4C9}"/>
            </c:ext>
          </c:extLst>
        </c:ser>
        <c:ser>
          <c:idx val="8"/>
          <c:order val="1"/>
          <c:tx>
            <c:strRef>
              <c:f>'Estadísticas finales 2021'!$K$1</c:f>
              <c:strCache>
                <c:ptCount val="1"/>
                <c:pt idx="0">
                  <c:v>Mueble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2021'!$K$2:$K$13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CE-4354-9308-EC13FE13D4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7741440"/>
        <c:axId val="247771904"/>
      </c:barChart>
      <c:lineChart>
        <c:grouping val="standard"/>
        <c:varyColors val="0"/>
        <c:ser>
          <c:idx val="9"/>
          <c:order val="2"/>
          <c:tx>
            <c:v>% de mueble</c:v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2021'!$L$2:$L$13</c:f>
              <c:numCache>
                <c:formatCode>0%</c:formatCode>
                <c:ptCount val="12"/>
                <c:pt idx="0">
                  <c:v>0.21</c:v>
                </c:pt>
                <c:pt idx="1">
                  <c:v>0.24</c:v>
                </c:pt>
                <c:pt idx="2">
                  <c:v>0.18</c:v>
                </c:pt>
                <c:pt idx="3">
                  <c:v>0.56000000000000005</c:v>
                </c:pt>
                <c:pt idx="4">
                  <c:v>0.32</c:v>
                </c:pt>
                <c:pt idx="5">
                  <c:v>0.32</c:v>
                </c:pt>
                <c:pt idx="6">
                  <c:v>0.3</c:v>
                </c:pt>
                <c:pt idx="7">
                  <c:v>0.28000000000000003</c:v>
                </c:pt>
                <c:pt idx="8">
                  <c:v>0.28999999999999998</c:v>
                </c:pt>
                <c:pt idx="9">
                  <c:v>0.28999999999999998</c:v>
                </c:pt>
                <c:pt idx="10">
                  <c:v>0.27</c:v>
                </c:pt>
                <c:pt idx="1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CCE-4354-9308-EC13FE13D4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7787520"/>
        <c:axId val="247773440"/>
      </c:lineChart>
      <c:catAx>
        <c:axId val="24774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771904"/>
        <c:crosses val="autoZero"/>
        <c:auto val="1"/>
        <c:lblAlgn val="ctr"/>
        <c:lblOffset val="100"/>
        <c:noMultiLvlLbl val="0"/>
      </c:catAx>
      <c:valAx>
        <c:axId val="24777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741440"/>
        <c:crosses val="autoZero"/>
        <c:crossBetween val="between"/>
      </c:valAx>
      <c:valAx>
        <c:axId val="24777344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787520"/>
        <c:crosses val="max"/>
        <c:crossBetween val="between"/>
      </c:valAx>
      <c:catAx>
        <c:axId val="247787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7773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 de paquete en venta bruta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'Estadísticas finales 2021'!$B$1</c:f>
              <c:strCache>
                <c:ptCount val="1"/>
                <c:pt idx="0">
                  <c:v> Venta mensual bruta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4D1D5E5-3206-4F1C-A11B-BF8FB78B61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E91-4927-8CF2-D23446FEC35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DE99E2C-38B1-6C44-BDAE-5EDD4D0515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E91-4927-8CF2-D23446FEC35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4009CCB-3A7D-664C-A0AA-3F0E929B5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E91-4927-8CF2-D23446FEC35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730394E-A41D-9B48-A4C7-BCFC26944D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E91-4927-8CF2-D23446FEC35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81A78A4-3235-0948-A448-0B50974287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E91-4927-8CF2-D23446FEC35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EAF3C84-0037-E343-843F-CB1353E010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E91-4927-8CF2-D23446FEC35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847D4DE-4404-FF4A-AD97-4481E40B1E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E91-4927-8CF2-D23446FEC35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0500DAA-BFDA-C14E-AF3C-F9AB9180CB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E91-4927-8CF2-D23446FEC35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DA004E2-65C4-2B4B-AB2B-C5910C6BD3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E91-4927-8CF2-D23446FEC35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83C4961-5CDC-6044-90CF-870B2D6104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E91-4927-8CF2-D23446FEC35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7E8C1CE-AA48-FE43-A955-3CF5AA561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E91-4927-8CF2-D23446FEC35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72AD314-F0C6-3448-8D7C-0336444933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E91-4927-8CF2-D23446FEC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2021'!$B$2:$B$13</c:f>
              <c:numCache>
                <c:formatCode>_-"$"* #,##0.00_-;\-"$"* #,##0.00_-;_-"$"* "-"??_-;_-@_-</c:formatCode>
                <c:ptCount val="12"/>
                <c:pt idx="0">
                  <c:v>16045.92</c:v>
                </c:pt>
                <c:pt idx="1">
                  <c:v>38352.899999999994</c:v>
                </c:pt>
                <c:pt idx="2">
                  <c:v>21324.57</c:v>
                </c:pt>
                <c:pt idx="3">
                  <c:v>47754.239999999998</c:v>
                </c:pt>
                <c:pt idx="4">
                  <c:v>57403.159999999996</c:v>
                </c:pt>
                <c:pt idx="5">
                  <c:v>60623.219999999994</c:v>
                </c:pt>
                <c:pt idx="6">
                  <c:v>58659.83</c:v>
                </c:pt>
                <c:pt idx="7">
                  <c:v>78720.869999999981</c:v>
                </c:pt>
                <c:pt idx="8">
                  <c:v>54824.939999999995</c:v>
                </c:pt>
                <c:pt idx="9">
                  <c:v>79860.99000000002</c:v>
                </c:pt>
                <c:pt idx="10">
                  <c:v>59564.959999999992</c:v>
                </c:pt>
                <c:pt idx="11">
                  <c:v>71070.149999999994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'Estadísticas finales 2021'!$M$2:$M$13</c15:f>
                <c15:dlblRangeCache>
                  <c:ptCount val="12"/>
                  <c:pt idx="0">
                    <c:v>Eco </c:v>
                  </c:pt>
                  <c:pt idx="1">
                    <c:v>Eco </c:v>
                  </c:pt>
                  <c:pt idx="2">
                    <c:v>Senc </c:v>
                  </c:pt>
                  <c:pt idx="3">
                    <c:v>Senc </c:v>
                  </c:pt>
                  <c:pt idx="4">
                    <c:v>Senc </c:v>
                  </c:pt>
                  <c:pt idx="5">
                    <c:v>Senc </c:v>
                  </c:pt>
                  <c:pt idx="6">
                    <c:v>Senc </c:v>
                  </c:pt>
                  <c:pt idx="7">
                    <c:v>Senc </c:v>
                  </c:pt>
                  <c:pt idx="8">
                    <c:v>Prem </c:v>
                  </c:pt>
                  <c:pt idx="9">
                    <c:v>Senc </c:v>
                  </c:pt>
                  <c:pt idx="10">
                    <c:v>Senc</c:v>
                  </c:pt>
                  <c:pt idx="11">
                    <c:v>Senc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E91-4927-8CF2-D23446FEC355}"/>
            </c:ext>
          </c:extLst>
        </c:ser>
        <c:ser>
          <c:idx val="10"/>
          <c:order val="1"/>
          <c:tx>
            <c:strRef>
              <c:f>'Estadísticas finales 2021'!$M$1</c:f>
              <c:strCache>
                <c:ptCount val="1"/>
                <c:pt idx="0">
                  <c:v>Paquete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2021'!$M$2:$M$13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91-4927-8CF2-D23446FEC3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7515392"/>
        <c:axId val="247541760"/>
      </c:barChart>
      <c:lineChart>
        <c:grouping val="standard"/>
        <c:varyColors val="0"/>
        <c:ser>
          <c:idx val="11"/>
          <c:order val="2"/>
          <c:tx>
            <c:v>% de paquete</c:v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2021'!$N$2:$N$13</c:f>
              <c:numCache>
                <c:formatCode>0%</c:formatCode>
                <c:ptCount val="12"/>
                <c:pt idx="0">
                  <c:v>0.24</c:v>
                </c:pt>
                <c:pt idx="1">
                  <c:v>0.55000000000000004</c:v>
                </c:pt>
                <c:pt idx="2">
                  <c:v>0.39</c:v>
                </c:pt>
                <c:pt idx="3">
                  <c:v>0.35</c:v>
                </c:pt>
                <c:pt idx="4">
                  <c:v>0.3</c:v>
                </c:pt>
                <c:pt idx="5">
                  <c:v>0.44</c:v>
                </c:pt>
                <c:pt idx="6">
                  <c:v>0.31</c:v>
                </c:pt>
                <c:pt idx="7">
                  <c:v>0.39</c:v>
                </c:pt>
                <c:pt idx="8">
                  <c:v>0.28000000000000003</c:v>
                </c:pt>
                <c:pt idx="9">
                  <c:v>0.48</c:v>
                </c:pt>
                <c:pt idx="10">
                  <c:v>0.38</c:v>
                </c:pt>
                <c:pt idx="11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91-4927-8CF2-D23446FEC3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7544832"/>
        <c:axId val="247543296"/>
      </c:lineChart>
      <c:catAx>
        <c:axId val="24751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541760"/>
        <c:crosses val="autoZero"/>
        <c:auto val="1"/>
        <c:lblAlgn val="ctr"/>
        <c:lblOffset val="100"/>
        <c:noMultiLvlLbl val="0"/>
      </c:catAx>
      <c:valAx>
        <c:axId val="2475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515392"/>
        <c:crosses val="autoZero"/>
        <c:crossBetween val="between"/>
      </c:valAx>
      <c:valAx>
        <c:axId val="24754329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544832"/>
        <c:crosses val="max"/>
        <c:crossBetween val="between"/>
      </c:valAx>
      <c:catAx>
        <c:axId val="247544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7543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0"/>
          <c:tx>
            <c:strRef>
              <c:f>'Estadísticas finales 2021'!$I$1</c:f>
              <c:strCache>
                <c:ptCount val="1"/>
                <c:pt idx="0">
                  <c:v>Satisfacción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'Estadísticas finales 2021'!$A$2:$A$13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'Estadísticas finales 2021'!$I$2:$I$13</c:f>
              <c:numCache>
                <c:formatCode>0%</c:formatCode>
                <c:ptCount val="12"/>
                <c:pt idx="0">
                  <c:v>1</c:v>
                </c:pt>
                <c:pt idx="1">
                  <c:v>0.8</c:v>
                </c:pt>
                <c:pt idx="2">
                  <c:v>0.64</c:v>
                </c:pt>
                <c:pt idx="3">
                  <c:v>0.71</c:v>
                </c:pt>
                <c:pt idx="4">
                  <c:v>0.57999999999999996</c:v>
                </c:pt>
                <c:pt idx="5">
                  <c:v>0.57999999999999996</c:v>
                </c:pt>
                <c:pt idx="6">
                  <c:v>0.56000000000000005</c:v>
                </c:pt>
                <c:pt idx="7">
                  <c:v>0.71</c:v>
                </c:pt>
                <c:pt idx="8">
                  <c:v>0.53</c:v>
                </c:pt>
                <c:pt idx="9">
                  <c:v>0.74</c:v>
                </c:pt>
                <c:pt idx="10">
                  <c:v>0.88</c:v>
                </c:pt>
                <c:pt idx="1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E-481E-9671-A2C9CAC05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7562240"/>
        <c:axId val="247563776"/>
      </c:barChart>
      <c:catAx>
        <c:axId val="24756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563776"/>
        <c:crosses val="autoZero"/>
        <c:auto val="1"/>
        <c:lblAlgn val="ctr"/>
        <c:lblOffset val="100"/>
        <c:noMultiLvlLbl val="0"/>
      </c:catAx>
      <c:valAx>
        <c:axId val="24756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56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Tipo de Sala</a:t>
            </a:r>
          </a:p>
        </c:rich>
      </c:tx>
      <c:layout>
        <c:manualLayout>
          <c:xMode val="edge"/>
          <c:yMode val="edge"/>
          <c:x val="0.35988821544645733"/>
          <c:y val="4.46287922852642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 especif 2021'!$A$28</c:f>
              <c:strCache>
                <c:ptCount val="1"/>
                <c:pt idx="0">
                  <c:v>Todo fijo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2021'!$B$28:$M$28</c:f>
              <c:numCache>
                <c:formatCode>0%</c:formatCode>
                <c:ptCount val="12"/>
                <c:pt idx="0">
                  <c:v>0</c:v>
                </c:pt>
                <c:pt idx="1">
                  <c:v>0.55555555555555558</c:v>
                </c:pt>
                <c:pt idx="2">
                  <c:v>0.25</c:v>
                </c:pt>
                <c:pt idx="3">
                  <c:v>0.52631578947368418</c:v>
                </c:pt>
                <c:pt idx="4">
                  <c:v>0.65</c:v>
                </c:pt>
                <c:pt idx="5">
                  <c:v>0.68</c:v>
                </c:pt>
                <c:pt idx="6">
                  <c:v>0.45833333333333331</c:v>
                </c:pt>
                <c:pt idx="7">
                  <c:v>0.59259259259259256</c:v>
                </c:pt>
                <c:pt idx="8">
                  <c:v>0.45</c:v>
                </c:pt>
                <c:pt idx="9">
                  <c:v>0.6785714285714286</c:v>
                </c:pt>
                <c:pt idx="10">
                  <c:v>0.42105263157894735</c:v>
                </c:pt>
                <c:pt idx="11">
                  <c:v>0.60526315789473684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1-4D3C-8326-2CCEC4CA6372}"/>
            </c:ext>
          </c:extLst>
        </c:ser>
        <c:ser>
          <c:idx val="1"/>
          <c:order val="1"/>
          <c:tx>
            <c:strRef>
              <c:f>'Estad especif 2021'!$A$29</c:f>
              <c:strCache>
                <c:ptCount val="1"/>
                <c:pt idx="0">
                  <c:v>A o R removible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2021'!$B$29:$M$29</c:f>
              <c:numCache>
                <c:formatCode>0%</c:formatCode>
                <c:ptCount val="12"/>
                <c:pt idx="0">
                  <c:v>0.33333333333333331</c:v>
                </c:pt>
                <c:pt idx="1">
                  <c:v>0.33333333333333331</c:v>
                </c:pt>
                <c:pt idx="2">
                  <c:v>0.25</c:v>
                </c:pt>
                <c:pt idx="3">
                  <c:v>0.31578947368421051</c:v>
                </c:pt>
                <c:pt idx="4">
                  <c:v>0.35</c:v>
                </c:pt>
                <c:pt idx="5">
                  <c:v>0.24</c:v>
                </c:pt>
                <c:pt idx="6">
                  <c:v>0.45833333333333331</c:v>
                </c:pt>
                <c:pt idx="7">
                  <c:v>0.40740740740740738</c:v>
                </c:pt>
                <c:pt idx="8">
                  <c:v>0.4</c:v>
                </c:pt>
                <c:pt idx="9">
                  <c:v>0.25</c:v>
                </c:pt>
                <c:pt idx="10">
                  <c:v>0.36842105263157893</c:v>
                </c:pt>
                <c:pt idx="11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C1-4D3C-8326-2CCEC4CA6372}"/>
            </c:ext>
          </c:extLst>
        </c:ser>
        <c:ser>
          <c:idx val="2"/>
          <c:order val="2"/>
          <c:tx>
            <c:strRef>
              <c:f>'Estad especif 2021'!$A$30</c:f>
              <c:strCache>
                <c:ptCount val="1"/>
                <c:pt idx="0">
                  <c:v>Todo Removible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2021'!$B$26:$M$27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2021'!$B$30:$M$30</c:f>
              <c:numCache>
                <c:formatCode>0%</c:formatCode>
                <c:ptCount val="12"/>
                <c:pt idx="0">
                  <c:v>0.66666666666666663</c:v>
                </c:pt>
                <c:pt idx="1">
                  <c:v>0.1111111111111111</c:v>
                </c:pt>
                <c:pt idx="2">
                  <c:v>0.5</c:v>
                </c:pt>
                <c:pt idx="3">
                  <c:v>0.15789473684210525</c:v>
                </c:pt>
                <c:pt idx="4">
                  <c:v>0</c:v>
                </c:pt>
                <c:pt idx="5">
                  <c:v>0.08</c:v>
                </c:pt>
                <c:pt idx="6">
                  <c:v>8.3333333333333329E-2</c:v>
                </c:pt>
                <c:pt idx="7">
                  <c:v>0</c:v>
                </c:pt>
                <c:pt idx="8">
                  <c:v>0.15</c:v>
                </c:pt>
                <c:pt idx="9">
                  <c:v>7.1428571428571425E-2</c:v>
                </c:pt>
                <c:pt idx="10">
                  <c:v>0.21052631578947367</c:v>
                </c:pt>
                <c:pt idx="11">
                  <c:v>7.8947368421052627E-2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C1-4D3C-8326-2CCEC4CA6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47644928"/>
        <c:axId val="247646464"/>
      </c:barChart>
      <c:catAx>
        <c:axId val="247644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646464"/>
        <c:crosses val="autoZero"/>
        <c:auto val="1"/>
        <c:lblAlgn val="ctr"/>
        <c:lblOffset val="100"/>
        <c:noMultiLvlLbl val="0"/>
      </c:catAx>
      <c:valAx>
        <c:axId val="247646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64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Tamaño de Sala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018284627173284E-2"/>
          <c:y val="0.14566517138988996"/>
          <c:w val="0.92368727625998537"/>
          <c:h val="0.590457236083969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 especif 2021'!$A$34</c:f>
              <c:strCache>
                <c:ptCount val="1"/>
                <c:pt idx="0">
                  <c:v>1 Plaza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2021'!$B$34:$M$34</c:f>
              <c:numCache>
                <c:formatCode>0%</c:formatCode>
                <c:ptCount val="12"/>
                <c:pt idx="0">
                  <c:v>0</c:v>
                </c:pt>
                <c:pt idx="1">
                  <c:v>0.1111111111111111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0.12</c:v>
                </c:pt>
                <c:pt idx="6">
                  <c:v>8.3333333333333329E-2</c:v>
                </c:pt>
                <c:pt idx="7">
                  <c:v>0.14814814814814814</c:v>
                </c:pt>
                <c:pt idx="8">
                  <c:v>0.05</c:v>
                </c:pt>
                <c:pt idx="9">
                  <c:v>0.10714285714285714</c:v>
                </c:pt>
                <c:pt idx="10">
                  <c:v>0.10526315789473684</c:v>
                </c:pt>
                <c:pt idx="11">
                  <c:v>7.8947368421052627E-2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0-4446-AA05-B7D1C69AEF9B}"/>
            </c:ext>
          </c:extLst>
        </c:ser>
        <c:ser>
          <c:idx val="1"/>
          <c:order val="1"/>
          <c:tx>
            <c:strRef>
              <c:f>'Estad especif 2021'!$A$35</c:f>
              <c:strCache>
                <c:ptCount val="1"/>
                <c:pt idx="0">
                  <c:v>2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2021'!$B$35:$M$35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0.15789473684210525</c:v>
                </c:pt>
                <c:pt idx="4">
                  <c:v>0.05</c:v>
                </c:pt>
                <c:pt idx="5">
                  <c:v>0.12</c:v>
                </c:pt>
                <c:pt idx="6">
                  <c:v>0.16666666666666666</c:v>
                </c:pt>
                <c:pt idx="7">
                  <c:v>3.7037037037037035E-2</c:v>
                </c:pt>
                <c:pt idx="8">
                  <c:v>0.15</c:v>
                </c:pt>
                <c:pt idx="9">
                  <c:v>7.1428571428571425E-2</c:v>
                </c:pt>
                <c:pt idx="10">
                  <c:v>0.10526315789473684</c:v>
                </c:pt>
                <c:pt idx="11">
                  <c:v>7.8947368421052627E-2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0-4446-AA05-B7D1C69AEF9B}"/>
            </c:ext>
          </c:extLst>
        </c:ser>
        <c:ser>
          <c:idx val="2"/>
          <c:order val="2"/>
          <c:tx>
            <c:strRef>
              <c:f>'Estad especif 2021'!$A$36</c:f>
              <c:strCache>
                <c:ptCount val="1"/>
                <c:pt idx="0">
                  <c:v>3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2021'!$B$36:$M$36</c:f>
              <c:numCache>
                <c:formatCode>0%</c:formatCode>
                <c:ptCount val="12"/>
                <c:pt idx="0">
                  <c:v>0.33333333333333331</c:v>
                </c:pt>
                <c:pt idx="1">
                  <c:v>0.1111111111111111</c:v>
                </c:pt>
                <c:pt idx="2">
                  <c:v>0</c:v>
                </c:pt>
                <c:pt idx="3">
                  <c:v>0.21052631578947367</c:v>
                </c:pt>
                <c:pt idx="4">
                  <c:v>0.1</c:v>
                </c:pt>
                <c:pt idx="5">
                  <c:v>0.08</c:v>
                </c:pt>
                <c:pt idx="6">
                  <c:v>4.1666666666666664E-2</c:v>
                </c:pt>
                <c:pt idx="7">
                  <c:v>0.18518518518518517</c:v>
                </c:pt>
                <c:pt idx="8">
                  <c:v>0</c:v>
                </c:pt>
                <c:pt idx="9">
                  <c:v>0.10714285714285714</c:v>
                </c:pt>
                <c:pt idx="10">
                  <c:v>0.10526315789473684</c:v>
                </c:pt>
                <c:pt idx="11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80-4446-AA05-B7D1C69AEF9B}"/>
            </c:ext>
          </c:extLst>
        </c:ser>
        <c:ser>
          <c:idx val="3"/>
          <c:order val="3"/>
          <c:tx>
            <c:strRef>
              <c:f>'Estad especif 2021'!$A$37</c:f>
              <c:strCache>
                <c:ptCount val="1"/>
                <c:pt idx="0">
                  <c:v>4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2021'!$B$37:$M$37</c:f>
              <c:numCache>
                <c:formatCode>0%</c:formatCode>
                <c:ptCount val="12"/>
                <c:pt idx="0">
                  <c:v>0.33333333333333331</c:v>
                </c:pt>
                <c:pt idx="1">
                  <c:v>0.1111111111111111</c:v>
                </c:pt>
                <c:pt idx="2">
                  <c:v>0.5</c:v>
                </c:pt>
                <c:pt idx="3">
                  <c:v>0.31578947368421051</c:v>
                </c:pt>
                <c:pt idx="4">
                  <c:v>0.2</c:v>
                </c:pt>
                <c:pt idx="5">
                  <c:v>0.12</c:v>
                </c:pt>
                <c:pt idx="6">
                  <c:v>0.20833333333333334</c:v>
                </c:pt>
                <c:pt idx="7">
                  <c:v>0.18518518518518517</c:v>
                </c:pt>
                <c:pt idx="8">
                  <c:v>0.15</c:v>
                </c:pt>
                <c:pt idx="9">
                  <c:v>0.10714285714285714</c:v>
                </c:pt>
                <c:pt idx="10">
                  <c:v>0.21052631578947367</c:v>
                </c:pt>
                <c:pt idx="11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80-4446-AA05-B7D1C69AEF9B}"/>
            </c:ext>
          </c:extLst>
        </c:ser>
        <c:ser>
          <c:idx val="4"/>
          <c:order val="4"/>
          <c:tx>
            <c:strRef>
              <c:f>'Estad especif 2021'!$A$38</c:f>
              <c:strCache>
                <c:ptCount val="1"/>
                <c:pt idx="0">
                  <c:v>5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2021'!$B$38:$M$38</c:f>
              <c:numCache>
                <c:formatCode>0%</c:formatCode>
                <c:ptCount val="12"/>
                <c:pt idx="0">
                  <c:v>0.33333333333333331</c:v>
                </c:pt>
                <c:pt idx="1">
                  <c:v>0.22222222222222221</c:v>
                </c:pt>
                <c:pt idx="2">
                  <c:v>0.25</c:v>
                </c:pt>
                <c:pt idx="3">
                  <c:v>0.10526315789473684</c:v>
                </c:pt>
                <c:pt idx="4">
                  <c:v>0.15</c:v>
                </c:pt>
                <c:pt idx="5">
                  <c:v>0.16</c:v>
                </c:pt>
                <c:pt idx="6">
                  <c:v>0.125</c:v>
                </c:pt>
                <c:pt idx="7">
                  <c:v>0.25925925925925924</c:v>
                </c:pt>
                <c:pt idx="8">
                  <c:v>0.2</c:v>
                </c:pt>
                <c:pt idx="9">
                  <c:v>0.2857142857142857</c:v>
                </c:pt>
                <c:pt idx="10">
                  <c:v>0.21052631578947367</c:v>
                </c:pt>
                <c:pt idx="11">
                  <c:v>0.21052631578947367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80-4446-AA05-B7D1C69AEF9B}"/>
            </c:ext>
          </c:extLst>
        </c:ser>
        <c:ser>
          <c:idx val="5"/>
          <c:order val="5"/>
          <c:tx>
            <c:strRef>
              <c:f>'Estad especif 2021'!$A$39</c:f>
              <c:strCache>
                <c:ptCount val="1"/>
                <c:pt idx="0">
                  <c:v>6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2021'!$B$39:$M$39</c:f>
              <c:numCache>
                <c:formatCode>0%</c:formatCode>
                <c:ptCount val="12"/>
                <c:pt idx="0">
                  <c:v>0</c:v>
                </c:pt>
                <c:pt idx="1">
                  <c:v>0.33333333333333331</c:v>
                </c:pt>
                <c:pt idx="2">
                  <c:v>0.25</c:v>
                </c:pt>
                <c:pt idx="3">
                  <c:v>0.21052631578947367</c:v>
                </c:pt>
                <c:pt idx="4">
                  <c:v>0.4</c:v>
                </c:pt>
                <c:pt idx="5">
                  <c:v>0.36</c:v>
                </c:pt>
                <c:pt idx="6">
                  <c:v>0.33333333333333331</c:v>
                </c:pt>
                <c:pt idx="7">
                  <c:v>0.14814814814814814</c:v>
                </c:pt>
                <c:pt idx="8">
                  <c:v>0.4</c:v>
                </c:pt>
                <c:pt idx="9">
                  <c:v>0.25</c:v>
                </c:pt>
                <c:pt idx="10">
                  <c:v>0.26315789473684209</c:v>
                </c:pt>
                <c:pt idx="11">
                  <c:v>0.34210526315789475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80-4446-AA05-B7D1C69AEF9B}"/>
            </c:ext>
          </c:extLst>
        </c:ser>
        <c:ser>
          <c:idx val="6"/>
          <c:order val="6"/>
          <c:tx>
            <c:strRef>
              <c:f>'Estad especif 2021'!$A$40</c:f>
              <c:strCache>
                <c:ptCount val="1"/>
                <c:pt idx="0">
                  <c:v>7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2021'!$B$40:$M$40</c:f>
              <c:numCache>
                <c:formatCode>0%</c:formatCode>
                <c:ptCount val="12"/>
                <c:pt idx="0">
                  <c:v>0</c:v>
                </c:pt>
                <c:pt idx="1">
                  <c:v>0.1111111111111111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4.1666666666666664E-2</c:v>
                </c:pt>
                <c:pt idx="7">
                  <c:v>3.7037037037037035E-2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80-4446-AA05-B7D1C69AEF9B}"/>
            </c:ext>
          </c:extLst>
        </c:ser>
        <c:ser>
          <c:idx val="7"/>
          <c:order val="7"/>
          <c:tx>
            <c:strRef>
              <c:f>'Estad especif 2021'!$A$41</c:f>
              <c:strCache>
                <c:ptCount val="1"/>
                <c:pt idx="0">
                  <c:v>8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2021'!$B$41:$M$41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0.04</c:v>
                </c:pt>
                <c:pt idx="6">
                  <c:v>0</c:v>
                </c:pt>
                <c:pt idx="7">
                  <c:v>3.7037037037037035E-2</c:v>
                </c:pt>
                <c:pt idx="8">
                  <c:v>0</c:v>
                </c:pt>
                <c:pt idx="9">
                  <c:v>7.1428571428571425E-2</c:v>
                </c:pt>
                <c:pt idx="10">
                  <c:v>0</c:v>
                </c:pt>
                <c:pt idx="11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80-4446-AA05-B7D1C69AEF9B}"/>
            </c:ext>
          </c:extLst>
        </c:ser>
        <c:ser>
          <c:idx val="8"/>
          <c:order val="8"/>
          <c:tx>
            <c:strRef>
              <c:f>'Estad especif 2021'!$A$42</c:f>
              <c:strCache>
                <c:ptCount val="1"/>
                <c:pt idx="0">
                  <c:v>9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2021'!$B$42:$M$42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3.5714285714285712E-2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80-4446-AA05-B7D1C69AEF9B}"/>
            </c:ext>
          </c:extLst>
        </c:ser>
        <c:ser>
          <c:idx val="9"/>
          <c:order val="9"/>
          <c:tx>
            <c:strRef>
              <c:f>'Estad especif 2021'!$A$43</c:f>
              <c:strCache>
                <c:ptCount val="1"/>
                <c:pt idx="0">
                  <c:v>10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2021'!$B$43:$M$43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80-4446-AA05-B7D1C69AEF9B}"/>
            </c:ext>
          </c:extLst>
        </c:ser>
        <c:ser>
          <c:idx val="10"/>
          <c:order val="10"/>
          <c:tx>
            <c:strRef>
              <c:f>'Estad especif 2021'!$A$44</c:f>
              <c:strCache>
                <c:ptCount val="1"/>
                <c:pt idx="0">
                  <c:v>11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>
              <a:glow rad="63500">
                <a:schemeClr val="accent5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2021'!$B$44:$M$44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80-4446-AA05-B7D1C69AEF9B}"/>
            </c:ext>
          </c:extLst>
        </c:ser>
        <c:ser>
          <c:idx val="11"/>
          <c:order val="11"/>
          <c:tx>
            <c:strRef>
              <c:f>'Estad especif 2021'!$A$45</c:f>
              <c:strCache>
                <c:ptCount val="1"/>
                <c:pt idx="0">
                  <c:v>12 Plazas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>
              <a:glow rad="63500">
                <a:schemeClr val="accent6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2021'!$B$32:$M$33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2021'!$B$45:$M$45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3.5714285714285712E-2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2.6315789473684209E-2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780-4446-AA05-B7D1C69AE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47812096"/>
        <c:axId val="247813632"/>
      </c:barChart>
      <c:catAx>
        <c:axId val="247812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813632"/>
        <c:crosses val="autoZero"/>
        <c:auto val="1"/>
        <c:lblAlgn val="ctr"/>
        <c:lblOffset val="100"/>
        <c:noMultiLvlLbl val="0"/>
      </c:catAx>
      <c:valAx>
        <c:axId val="247813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81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Tipo de tapete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 especif 2021'!$A$49</c:f>
              <c:strCache>
                <c:ptCount val="1"/>
                <c:pt idx="0">
                  <c:v>Lana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2021'!$B$49:$M$49</c:f>
              <c:numCache>
                <c:formatCode>0%</c:formatCode>
                <c:ptCount val="12"/>
                <c:pt idx="0">
                  <c:v>0</c:v>
                </c:pt>
                <c:pt idx="1">
                  <c:v>0.66666666666666663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5.5555555555555552E-2</c:v>
                </c:pt>
                <c:pt idx="7">
                  <c:v>8.3333333333333329E-2</c:v>
                </c:pt>
                <c:pt idx="8">
                  <c:v>0</c:v>
                </c:pt>
                <c:pt idx="9">
                  <c:v>0.33333333333333331</c:v>
                </c:pt>
                <c:pt idx="10">
                  <c:v>0.08</c:v>
                </c:pt>
                <c:pt idx="11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5-4921-B055-4BB1C33AAB9E}"/>
            </c:ext>
          </c:extLst>
        </c:ser>
        <c:ser>
          <c:idx val="1"/>
          <c:order val="1"/>
          <c:tx>
            <c:strRef>
              <c:f>'Estad especif 2021'!$A$50</c:f>
              <c:strCache>
                <c:ptCount val="1"/>
                <c:pt idx="0">
                  <c:v>Sintético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2021'!$B$50:$M$50</c:f>
              <c:numCache>
                <c:formatCode>0%</c:formatCode>
                <c:ptCount val="12"/>
                <c:pt idx="0">
                  <c:v>1</c:v>
                </c:pt>
                <c:pt idx="1">
                  <c:v>0.33333333333333331</c:v>
                </c:pt>
                <c:pt idx="2">
                  <c:v>0.75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0.94444444444444442</c:v>
                </c:pt>
                <c:pt idx="7">
                  <c:v>0.91666666666666663</c:v>
                </c:pt>
                <c:pt idx="8">
                  <c:v>1</c:v>
                </c:pt>
                <c:pt idx="9">
                  <c:v>0.61904761904761907</c:v>
                </c:pt>
                <c:pt idx="10">
                  <c:v>0.92</c:v>
                </c:pt>
                <c:pt idx="11">
                  <c:v>0.82352941176470584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5-4921-B055-4BB1C33AAB9E}"/>
            </c:ext>
          </c:extLst>
        </c:ser>
        <c:ser>
          <c:idx val="2"/>
          <c:order val="2"/>
          <c:tx>
            <c:strRef>
              <c:f>'Estad especif 2021'!$A$51</c:f>
              <c:strCache>
                <c:ptCount val="1"/>
                <c:pt idx="0">
                  <c:v>Seda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2021'!$B$47:$M$48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2021'!$B$51:$M$51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4.7619047619047616E-2</c:v>
                </c:pt>
                <c:pt idx="10">
                  <c:v>0</c:v>
                </c:pt>
                <c:pt idx="11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55-4921-B055-4BB1C33AA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47849344"/>
        <c:axId val="247850880"/>
      </c:barChart>
      <c:catAx>
        <c:axId val="247849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850880"/>
        <c:crosses val="autoZero"/>
        <c:auto val="1"/>
        <c:lblAlgn val="ctr"/>
        <c:lblOffset val="100"/>
        <c:noMultiLvlLbl val="0"/>
      </c:catAx>
      <c:valAx>
        <c:axId val="247850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8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Tipo de silla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 especif 2021'!$A$55</c:f>
              <c:strCache>
                <c:ptCount val="1"/>
                <c:pt idx="0">
                  <c:v>Asiento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2021'!$B$55:$M$55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0.22222222222222221</c:v>
                </c:pt>
                <c:pt idx="4">
                  <c:v>0.2857142857142857</c:v>
                </c:pt>
                <c:pt idx="5">
                  <c:v>0.4</c:v>
                </c:pt>
                <c:pt idx="6">
                  <c:v>0.3</c:v>
                </c:pt>
                <c:pt idx="7">
                  <c:v>6.6666666666666666E-2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0.33333333333333331</c:v>
                </c:pt>
                <c:pt idx="11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8-4D4F-A858-E24AA027C6E6}"/>
            </c:ext>
          </c:extLst>
        </c:ser>
        <c:ser>
          <c:idx val="1"/>
          <c:order val="1"/>
          <c:tx>
            <c:strRef>
              <c:f>'Estad especif 2021'!$A$56</c:f>
              <c:strCache>
                <c:ptCount val="1"/>
                <c:pt idx="0">
                  <c:v>Asiento y respaldo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2021'!$B$53:$M$54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2021'!$B$56:$M$56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0.77777777777777779</c:v>
                </c:pt>
                <c:pt idx="4">
                  <c:v>0.8571428571428571</c:v>
                </c:pt>
                <c:pt idx="5">
                  <c:v>0.6</c:v>
                </c:pt>
                <c:pt idx="6">
                  <c:v>0.7</c:v>
                </c:pt>
                <c:pt idx="7">
                  <c:v>0.93333333333333335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0.66666666666666663</c:v>
                </c:pt>
                <c:pt idx="11">
                  <c:v>0.7857142857142857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E8-4D4F-A858-E24AA027C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47942528"/>
        <c:axId val="247944320"/>
      </c:barChart>
      <c:catAx>
        <c:axId val="247942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944320"/>
        <c:crosses val="autoZero"/>
        <c:auto val="1"/>
        <c:lblAlgn val="ctr"/>
        <c:lblOffset val="100"/>
        <c:noMultiLvlLbl val="0"/>
      </c:catAx>
      <c:valAx>
        <c:axId val="247944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9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Tipo de colchón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 especif 2021'!$A$60</c:f>
              <c:strCache>
                <c:ptCount val="1"/>
                <c:pt idx="0">
                  <c:v>Cuna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2021'!$B$60:$M$60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7.1428571428571425E-2</c:v>
                </c:pt>
                <c:pt idx="10">
                  <c:v>6.25E-2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B-41DA-8F26-84C882BAD550}"/>
            </c:ext>
          </c:extLst>
        </c:ser>
        <c:ser>
          <c:idx val="1"/>
          <c:order val="1"/>
          <c:tx>
            <c:strRef>
              <c:f>'Estad especif 2021'!$A$61</c:f>
              <c:strCache>
                <c:ptCount val="1"/>
                <c:pt idx="0">
                  <c:v>Ind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2021'!$B$61:$M$61</c:f>
              <c:numCache>
                <c:formatCode>0%</c:formatCode>
                <c:ptCount val="12"/>
                <c:pt idx="0">
                  <c:v>0.33333333333333331</c:v>
                </c:pt>
                <c:pt idx="1">
                  <c:v>0.44444444444444442</c:v>
                </c:pt>
                <c:pt idx="2">
                  <c:v>0</c:v>
                </c:pt>
                <c:pt idx="3">
                  <c:v>0.36363636363636365</c:v>
                </c:pt>
                <c:pt idx="4">
                  <c:v>0.26666666666666666</c:v>
                </c:pt>
                <c:pt idx="5">
                  <c:v>0.30769230769230771</c:v>
                </c:pt>
                <c:pt idx="6">
                  <c:v>0.22222222222222221</c:v>
                </c:pt>
                <c:pt idx="7">
                  <c:v>0.33333333333333331</c:v>
                </c:pt>
                <c:pt idx="8">
                  <c:v>0.125</c:v>
                </c:pt>
                <c:pt idx="9">
                  <c:v>0.21428571428571427</c:v>
                </c:pt>
                <c:pt idx="10">
                  <c:v>0.25</c:v>
                </c:pt>
                <c:pt idx="1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B-41DA-8F26-84C882BAD550}"/>
            </c:ext>
          </c:extLst>
        </c:ser>
        <c:ser>
          <c:idx val="2"/>
          <c:order val="2"/>
          <c:tx>
            <c:strRef>
              <c:f>'Estad especif 2021'!$A$62</c:f>
              <c:strCache>
                <c:ptCount val="1"/>
                <c:pt idx="0">
                  <c:v>Mat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2021'!$B$62:$M$62</c:f>
              <c:numCache>
                <c:formatCode>0%</c:formatCode>
                <c:ptCount val="12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  <c:pt idx="3">
                  <c:v>0.27272727272727271</c:v>
                </c:pt>
                <c:pt idx="4">
                  <c:v>0.4</c:v>
                </c:pt>
                <c:pt idx="5">
                  <c:v>0.38461538461538464</c:v>
                </c:pt>
                <c:pt idx="6">
                  <c:v>0.66666666666666663</c:v>
                </c:pt>
                <c:pt idx="7">
                  <c:v>0.26666666666666666</c:v>
                </c:pt>
                <c:pt idx="8">
                  <c:v>0.4375</c:v>
                </c:pt>
                <c:pt idx="9">
                  <c:v>7.1428571428571425E-2</c:v>
                </c:pt>
                <c:pt idx="10">
                  <c:v>0.25</c:v>
                </c:pt>
                <c:pt idx="11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CB-41DA-8F26-84C882BAD550}"/>
            </c:ext>
          </c:extLst>
        </c:ser>
        <c:ser>
          <c:idx val="3"/>
          <c:order val="3"/>
          <c:tx>
            <c:strRef>
              <c:f>'Estad especif 2021'!$A$63</c:f>
              <c:strCache>
                <c:ptCount val="1"/>
                <c:pt idx="0">
                  <c:v>QS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2021'!$B$63:$M$63</c:f>
              <c:numCache>
                <c:formatCode>0%</c:formatCode>
                <c:ptCount val="12"/>
                <c:pt idx="0">
                  <c:v>0</c:v>
                </c:pt>
                <c:pt idx="1">
                  <c:v>0.1111111111111111</c:v>
                </c:pt>
                <c:pt idx="2">
                  <c:v>0.5</c:v>
                </c:pt>
                <c:pt idx="3">
                  <c:v>9.0909090909090912E-2</c:v>
                </c:pt>
                <c:pt idx="4">
                  <c:v>0.13333333333333333</c:v>
                </c:pt>
                <c:pt idx="5">
                  <c:v>7.6923076923076927E-2</c:v>
                </c:pt>
                <c:pt idx="6">
                  <c:v>0.1111111111111111</c:v>
                </c:pt>
                <c:pt idx="7">
                  <c:v>0.2</c:v>
                </c:pt>
                <c:pt idx="8">
                  <c:v>0</c:v>
                </c:pt>
                <c:pt idx="9">
                  <c:v>0.14285714285714285</c:v>
                </c:pt>
                <c:pt idx="10">
                  <c:v>6.25E-2</c:v>
                </c:pt>
                <c:pt idx="1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CB-41DA-8F26-84C882BAD550}"/>
            </c:ext>
          </c:extLst>
        </c:ser>
        <c:ser>
          <c:idx val="4"/>
          <c:order val="4"/>
          <c:tx>
            <c:strRef>
              <c:f>'Estad especif 2021'!$A$64</c:f>
              <c:strCache>
                <c:ptCount val="1"/>
                <c:pt idx="0">
                  <c:v>KS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2021'!$B$58:$M$59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2021'!$B$64:$M$64</c:f>
              <c:numCache>
                <c:formatCode>0%</c:formatCode>
                <c:ptCount val="12"/>
                <c:pt idx="0">
                  <c:v>0.66666666666666663</c:v>
                </c:pt>
                <c:pt idx="1">
                  <c:v>0.1111111111111111</c:v>
                </c:pt>
                <c:pt idx="2">
                  <c:v>0.5</c:v>
                </c:pt>
                <c:pt idx="3">
                  <c:v>0.27272727272727271</c:v>
                </c:pt>
                <c:pt idx="4">
                  <c:v>0.2</c:v>
                </c:pt>
                <c:pt idx="5">
                  <c:v>0.23076923076923078</c:v>
                </c:pt>
                <c:pt idx="6">
                  <c:v>0</c:v>
                </c:pt>
                <c:pt idx="7">
                  <c:v>0.2</c:v>
                </c:pt>
                <c:pt idx="8">
                  <c:v>0.4375</c:v>
                </c:pt>
                <c:pt idx="9">
                  <c:v>0.5</c:v>
                </c:pt>
                <c:pt idx="10">
                  <c:v>0.375</c:v>
                </c:pt>
                <c:pt idx="11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CB-41DA-8F26-84C882BA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48269056"/>
        <c:axId val="248279040"/>
      </c:barChart>
      <c:catAx>
        <c:axId val="2482690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279040"/>
        <c:crosses val="autoZero"/>
        <c:auto val="1"/>
        <c:lblAlgn val="ctr"/>
        <c:lblOffset val="100"/>
        <c:noMultiLvlLbl val="0"/>
      </c:catAx>
      <c:valAx>
        <c:axId val="248279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26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Otros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 especif 2021'!$A$68</c:f>
              <c:strCache>
                <c:ptCount val="1"/>
                <c:pt idx="0">
                  <c:v>Taburete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2021'!$B$68:$M$68</c:f>
              <c:numCache>
                <c:formatCode>0%</c:formatCode>
                <c:ptCount val="12"/>
                <c:pt idx="0">
                  <c:v>1</c:v>
                </c:pt>
                <c:pt idx="1">
                  <c:v>0.56999999999999995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0.1</c:v>
                </c:pt>
                <c:pt idx="6">
                  <c:v>0.2857142857142857</c:v>
                </c:pt>
                <c:pt idx="7">
                  <c:v>0</c:v>
                </c:pt>
                <c:pt idx="8">
                  <c:v>0.2857142857142857</c:v>
                </c:pt>
                <c:pt idx="9">
                  <c:v>0.26666666666666666</c:v>
                </c:pt>
                <c:pt idx="10">
                  <c:v>7.1428571428571425E-2</c:v>
                </c:pt>
                <c:pt idx="11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A-42F4-87DC-50DDCE05C52D}"/>
            </c:ext>
          </c:extLst>
        </c:ser>
        <c:ser>
          <c:idx val="1"/>
          <c:order val="1"/>
          <c:tx>
            <c:strRef>
              <c:f>'Estad especif 2021'!$A$69</c:f>
              <c:strCache>
                <c:ptCount val="1"/>
                <c:pt idx="0">
                  <c:v>Cabecera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2021'!$B$69:$M$69</c:f>
              <c:numCache>
                <c:formatCode>0%</c:formatCode>
                <c:ptCount val="12"/>
                <c:pt idx="0">
                  <c:v>0</c:v>
                </c:pt>
                <c:pt idx="1">
                  <c:v>0.14000000000000001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0.11764705882352941</c:v>
                </c:pt>
                <c:pt idx="8">
                  <c:v>0</c:v>
                </c:pt>
                <c:pt idx="9">
                  <c:v>0.13333333333333333</c:v>
                </c:pt>
                <c:pt idx="10">
                  <c:v>7.1428571428571425E-2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A-42F4-87DC-50DDCE05C52D}"/>
            </c:ext>
          </c:extLst>
        </c:ser>
        <c:ser>
          <c:idx val="2"/>
          <c:order val="2"/>
          <c:tx>
            <c:strRef>
              <c:f>'Estad especif 2021'!$A$70</c:f>
              <c:strCache>
                <c:ptCount val="1"/>
                <c:pt idx="0">
                  <c:v>Carriola y porta bebé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2021'!$B$70:$M$70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0.25</c:v>
                </c:pt>
                <c:pt idx="5">
                  <c:v>0</c:v>
                </c:pt>
                <c:pt idx="6">
                  <c:v>0</c:v>
                </c:pt>
                <c:pt idx="7">
                  <c:v>0.17647058823529413</c:v>
                </c:pt>
                <c:pt idx="8">
                  <c:v>0.14285714285714285</c:v>
                </c:pt>
                <c:pt idx="9">
                  <c:v>0</c:v>
                </c:pt>
                <c:pt idx="10">
                  <c:v>0</c:v>
                </c:pt>
                <c:pt idx="11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9A-42F4-87DC-50DDCE05C52D}"/>
            </c:ext>
          </c:extLst>
        </c:ser>
        <c:ser>
          <c:idx val="3"/>
          <c:order val="3"/>
          <c:tx>
            <c:strRef>
              <c:f>'Estad especif 2021'!$A$71</c:f>
              <c:strCache>
                <c:ptCount val="1"/>
                <c:pt idx="0">
                  <c:v>Piso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2021'!$B$71:$M$71</c:f>
              <c:numCache>
                <c:formatCode>0%</c:formatCode>
                <c:ptCount val="12"/>
                <c:pt idx="0">
                  <c:v>0</c:v>
                </c:pt>
                <c:pt idx="1">
                  <c:v>0.14000000000000001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0.14285714285714285</c:v>
                </c:pt>
                <c:pt idx="7">
                  <c:v>5.8823529411764705E-2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9A-42F4-87DC-50DDCE05C52D}"/>
            </c:ext>
          </c:extLst>
        </c:ser>
        <c:ser>
          <c:idx val="4"/>
          <c:order val="4"/>
          <c:tx>
            <c:strRef>
              <c:f>'Estad especif 2021'!$A$72</c:f>
              <c:strCache>
                <c:ptCount val="1"/>
                <c:pt idx="0">
                  <c:v>Cojines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2021'!$B$72:$M$72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0.125</c:v>
                </c:pt>
                <c:pt idx="4">
                  <c:v>0.5</c:v>
                </c:pt>
                <c:pt idx="5">
                  <c:v>0.6</c:v>
                </c:pt>
                <c:pt idx="6">
                  <c:v>0.14285714285714285</c:v>
                </c:pt>
                <c:pt idx="7">
                  <c:v>0.23529411764705882</c:v>
                </c:pt>
                <c:pt idx="8">
                  <c:v>0.2857142857142857</c:v>
                </c:pt>
                <c:pt idx="9">
                  <c:v>0.26666666666666666</c:v>
                </c:pt>
                <c:pt idx="10">
                  <c:v>0.42857142857142855</c:v>
                </c:pt>
                <c:pt idx="11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9A-42F4-87DC-50DDCE05C52D}"/>
            </c:ext>
          </c:extLst>
        </c:ser>
        <c:ser>
          <c:idx val="5"/>
          <c:order val="5"/>
          <c:tx>
            <c:strRef>
              <c:f>'Estad especif 2021'!$A$73</c:f>
              <c:strCache>
                <c:ptCount val="1"/>
                <c:pt idx="0">
                  <c:v>Banca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2021'!$B$73:$M$73</c:f>
              <c:numCache>
                <c:formatCode>0%</c:formatCode>
                <c:ptCount val="12"/>
                <c:pt idx="0">
                  <c:v>0</c:v>
                </c:pt>
                <c:pt idx="1">
                  <c:v>0.14000000000000001</c:v>
                </c:pt>
                <c:pt idx="2">
                  <c:v>1</c:v>
                </c:pt>
                <c:pt idx="3">
                  <c:v>0.375</c:v>
                </c:pt>
                <c:pt idx="4">
                  <c:v>0.25</c:v>
                </c:pt>
                <c:pt idx="5">
                  <c:v>0.1</c:v>
                </c:pt>
                <c:pt idx="6">
                  <c:v>0.14000000000000001</c:v>
                </c:pt>
                <c:pt idx="7">
                  <c:v>0.11764705882352941</c:v>
                </c:pt>
                <c:pt idx="8">
                  <c:v>0.14000000000000001</c:v>
                </c:pt>
                <c:pt idx="9">
                  <c:v>0.13333333333333333</c:v>
                </c:pt>
                <c:pt idx="10">
                  <c:v>7.1428571428571425E-2</c:v>
                </c:pt>
                <c:pt idx="11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9A-42F4-87DC-50DDCE05C52D}"/>
            </c:ext>
          </c:extLst>
        </c:ser>
        <c:ser>
          <c:idx val="6"/>
          <c:order val="6"/>
          <c:tx>
            <c:strRef>
              <c:f>'Estad especif 2021'!$A$74</c:f>
              <c:strCache>
                <c:ptCount val="1"/>
                <c:pt idx="0">
                  <c:v>Banco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2021'!$B$74:$M$74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0.17647058823529413</c:v>
                </c:pt>
                <c:pt idx="8">
                  <c:v>0</c:v>
                </c:pt>
                <c:pt idx="9">
                  <c:v>6.6666666666666666E-2</c:v>
                </c:pt>
                <c:pt idx="10">
                  <c:v>7.1428571428571425E-2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9A-42F4-87DC-50DDCE05C52D}"/>
            </c:ext>
          </c:extLst>
        </c:ser>
        <c:ser>
          <c:idx val="7"/>
          <c:order val="7"/>
          <c:tx>
            <c:strRef>
              <c:f>'Estad especif 2021'!$A$75</c:f>
              <c:strCache>
                <c:ptCount val="1"/>
                <c:pt idx="0">
                  <c:v>Reposet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2021'!$B$75:$M$75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0.125</c:v>
                </c:pt>
                <c:pt idx="4">
                  <c:v>0</c:v>
                </c:pt>
                <c:pt idx="5">
                  <c:v>0.2</c:v>
                </c:pt>
                <c:pt idx="6">
                  <c:v>0.28999999999999998</c:v>
                </c:pt>
                <c:pt idx="7">
                  <c:v>0</c:v>
                </c:pt>
                <c:pt idx="8">
                  <c:v>0</c:v>
                </c:pt>
                <c:pt idx="9">
                  <c:v>0.13333333333333333</c:v>
                </c:pt>
                <c:pt idx="10">
                  <c:v>0.21428571428571427</c:v>
                </c:pt>
                <c:pt idx="11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9A-42F4-87DC-50DDCE05C52D}"/>
            </c:ext>
          </c:extLst>
        </c:ser>
        <c:ser>
          <c:idx val="8"/>
          <c:order val="8"/>
          <c:tx>
            <c:strRef>
              <c:f>'Estad especif 2021'!$A$76</c:f>
              <c:strCache>
                <c:ptCount val="1"/>
                <c:pt idx="0">
                  <c:v>Colchón interno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2021'!$B$76:$M$76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0.16</c:v>
                </c:pt>
                <c:pt idx="8">
                  <c:v>0</c:v>
                </c:pt>
                <c:pt idx="9">
                  <c:v>0</c:v>
                </c:pt>
                <c:pt idx="10">
                  <c:v>0.14285714285714285</c:v>
                </c:pt>
                <c:pt idx="11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9A-42F4-87DC-50DDCE05C52D}"/>
            </c:ext>
          </c:extLst>
        </c:ser>
        <c:ser>
          <c:idx val="9"/>
          <c:order val="9"/>
          <c:tx>
            <c:strRef>
              <c:f>'Estad especif 2021'!$A$77</c:f>
              <c:strCache>
                <c:ptCount val="1"/>
                <c:pt idx="0">
                  <c:v>Torre de gatos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2021'!$B$66:$M$67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2021'!$B$77:$M$77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0.14000000000000001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F9A-42F4-87DC-50DDCE05C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48110080"/>
        <c:axId val="248111872"/>
      </c:barChart>
      <c:catAx>
        <c:axId val="2481100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111872"/>
        <c:crosses val="autoZero"/>
        <c:auto val="1"/>
        <c:lblAlgn val="ctr"/>
        <c:lblOffset val="100"/>
        <c:noMultiLvlLbl val="0"/>
      </c:catAx>
      <c:valAx>
        <c:axId val="248111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11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 especif 2021'!$A$81</c:f>
              <c:strCache>
                <c:ptCount val="1"/>
                <c:pt idx="0">
                  <c:v>PURT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'Estad especif 2021'!$B$79:$M$80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2021'!$B$81:$M$81</c:f>
              <c:numCache>
                <c:formatCode>0%</c:formatCode>
                <c:ptCount val="12"/>
                <c:pt idx="0">
                  <c:v>0.13</c:v>
                </c:pt>
                <c:pt idx="1">
                  <c:v>0.08</c:v>
                </c:pt>
                <c:pt idx="2">
                  <c:v>0.09</c:v>
                </c:pt>
                <c:pt idx="3">
                  <c:v>0.04</c:v>
                </c:pt>
                <c:pt idx="4">
                  <c:v>0.11</c:v>
                </c:pt>
                <c:pt idx="5">
                  <c:v>0.15</c:v>
                </c:pt>
                <c:pt idx="6">
                  <c:v>0.08</c:v>
                </c:pt>
                <c:pt idx="7">
                  <c:v>0.06</c:v>
                </c:pt>
                <c:pt idx="8">
                  <c:v>0.1</c:v>
                </c:pt>
                <c:pt idx="9">
                  <c:v>0.11</c:v>
                </c:pt>
                <c:pt idx="10">
                  <c:v>0.06</c:v>
                </c:pt>
                <c:pt idx="1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A-4C90-B248-A9594B46C6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48144256"/>
        <c:axId val="248146944"/>
      </c:barChart>
      <c:catAx>
        <c:axId val="248144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146944"/>
        <c:crosses val="autoZero"/>
        <c:auto val="1"/>
        <c:lblAlgn val="ctr"/>
        <c:lblOffset val="100"/>
        <c:noMultiLvlLbl val="0"/>
      </c:catAx>
      <c:valAx>
        <c:axId val="248146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14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Tipo de mueble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 especif 2021'!$A$3</c:f>
              <c:strCache>
                <c:ptCount val="1"/>
                <c:pt idx="0">
                  <c:v>Alfombra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2021'!$B$3:$M$3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9.5238095238095233E-2</c:v>
                </c:pt>
                <c:pt idx="3">
                  <c:v>3.0303030303030304E-2</c:v>
                </c:pt>
                <c:pt idx="4">
                  <c:v>6.25E-2</c:v>
                </c:pt>
                <c:pt idx="5">
                  <c:v>3.7974683544303799E-2</c:v>
                </c:pt>
                <c:pt idx="6">
                  <c:v>1.2658227848101266E-2</c:v>
                </c:pt>
                <c:pt idx="7">
                  <c:v>2.0618556701030927E-2</c:v>
                </c:pt>
                <c:pt idx="8">
                  <c:v>2.9411764705882353E-2</c:v>
                </c:pt>
                <c:pt idx="9">
                  <c:v>4.1237113402061855E-2</c:v>
                </c:pt>
                <c:pt idx="10">
                  <c:v>3.2608695652173912E-2</c:v>
                </c:pt>
                <c:pt idx="11">
                  <c:v>4.2553191489361701E-2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B-4E68-ABD2-604BB02F73F5}"/>
            </c:ext>
          </c:extLst>
        </c:ser>
        <c:ser>
          <c:idx val="1"/>
          <c:order val="1"/>
          <c:tx>
            <c:strRef>
              <c:f>'Estad especif 2021'!$A$4</c:f>
              <c:strCache>
                <c:ptCount val="1"/>
                <c:pt idx="0">
                  <c:v>Tapete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2021'!$B$4:$M$4</c:f>
              <c:numCache>
                <c:formatCode>0%</c:formatCode>
                <c:ptCount val="12"/>
                <c:pt idx="0">
                  <c:v>0.21428571428571427</c:v>
                </c:pt>
                <c:pt idx="1">
                  <c:v>0.16216216216216217</c:v>
                </c:pt>
                <c:pt idx="2">
                  <c:v>0.19047619047619047</c:v>
                </c:pt>
                <c:pt idx="3">
                  <c:v>0.18181818181818182</c:v>
                </c:pt>
                <c:pt idx="4">
                  <c:v>0.125</c:v>
                </c:pt>
                <c:pt idx="5">
                  <c:v>0.15189873417721519</c:v>
                </c:pt>
                <c:pt idx="6">
                  <c:v>0.22784810126582278</c:v>
                </c:pt>
                <c:pt idx="7">
                  <c:v>0.12371134020618557</c:v>
                </c:pt>
                <c:pt idx="8">
                  <c:v>0.20588235294117646</c:v>
                </c:pt>
                <c:pt idx="9">
                  <c:v>0.21649484536082475</c:v>
                </c:pt>
                <c:pt idx="10">
                  <c:v>0.27173913043478259</c:v>
                </c:pt>
                <c:pt idx="11">
                  <c:v>0.18085106382978725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EB-4E68-ABD2-604BB02F73F5}"/>
            </c:ext>
          </c:extLst>
        </c:ser>
        <c:ser>
          <c:idx val="2"/>
          <c:order val="2"/>
          <c:tx>
            <c:strRef>
              <c:f>'Estad especif 2021'!$A$5</c:f>
              <c:strCache>
                <c:ptCount val="1"/>
                <c:pt idx="0">
                  <c:v>Sala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2021'!$B$5:$M$5</c:f>
              <c:numCache>
                <c:formatCode>0%</c:formatCode>
                <c:ptCount val="12"/>
                <c:pt idx="0">
                  <c:v>0.21428571428571427</c:v>
                </c:pt>
                <c:pt idx="1">
                  <c:v>0.24324324324324326</c:v>
                </c:pt>
                <c:pt idx="2">
                  <c:v>0.19047619047619047</c:v>
                </c:pt>
                <c:pt idx="3">
                  <c:v>0.2878787878787879</c:v>
                </c:pt>
                <c:pt idx="4">
                  <c:v>0.3125</c:v>
                </c:pt>
                <c:pt idx="5">
                  <c:v>0.31645569620253167</c:v>
                </c:pt>
                <c:pt idx="6">
                  <c:v>0.30379746835443039</c:v>
                </c:pt>
                <c:pt idx="7">
                  <c:v>0.27835051546391754</c:v>
                </c:pt>
                <c:pt idx="8">
                  <c:v>0.29411764705882354</c:v>
                </c:pt>
                <c:pt idx="9">
                  <c:v>0.28865979381443296</c:v>
                </c:pt>
                <c:pt idx="10">
                  <c:v>0.20652173913043478</c:v>
                </c:pt>
                <c:pt idx="11">
                  <c:v>0.40425531914893614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EB-4E68-ABD2-604BB02F73F5}"/>
            </c:ext>
          </c:extLst>
        </c:ser>
        <c:ser>
          <c:idx val="3"/>
          <c:order val="3"/>
          <c:tx>
            <c:strRef>
              <c:f>'Estad especif 2021'!$A$6</c:f>
              <c:strCache>
                <c:ptCount val="1"/>
                <c:pt idx="0">
                  <c:v>Sala piel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2021'!$B$6:$M$6</c:f>
              <c:numCache>
                <c:formatCode>0%</c:formatCode>
                <c:ptCount val="12"/>
                <c:pt idx="0">
                  <c:v>7.1428571428571425E-2</c:v>
                </c:pt>
                <c:pt idx="1">
                  <c:v>0</c:v>
                </c:pt>
                <c:pt idx="2">
                  <c:v>4.7619047619047616E-2</c:v>
                </c:pt>
                <c:pt idx="3">
                  <c:v>1.5151515151515152E-2</c:v>
                </c:pt>
                <c:pt idx="4">
                  <c:v>0</c:v>
                </c:pt>
                <c:pt idx="5">
                  <c:v>0</c:v>
                </c:pt>
                <c:pt idx="6">
                  <c:v>3.7974683544303799E-2</c:v>
                </c:pt>
                <c:pt idx="7">
                  <c:v>0</c:v>
                </c:pt>
                <c:pt idx="8">
                  <c:v>0</c:v>
                </c:pt>
                <c:pt idx="9">
                  <c:v>1.0309278350515464E-2</c:v>
                </c:pt>
                <c:pt idx="10">
                  <c:v>2.1739130434782608E-2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EB-4E68-ABD2-604BB02F73F5}"/>
            </c:ext>
          </c:extLst>
        </c:ser>
        <c:ser>
          <c:idx val="4"/>
          <c:order val="4"/>
          <c:tx>
            <c:strRef>
              <c:f>'Estad especif 2021'!$A$7</c:f>
              <c:strCache>
                <c:ptCount val="1"/>
                <c:pt idx="0">
                  <c:v>Sillas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2021'!$B$7:$M$7</c:f>
              <c:numCache>
                <c:formatCode>0%</c:formatCode>
                <c:ptCount val="12"/>
                <c:pt idx="0">
                  <c:v>7.1428571428571425E-2</c:v>
                </c:pt>
                <c:pt idx="1">
                  <c:v>5.4054054054054057E-2</c:v>
                </c:pt>
                <c:pt idx="2">
                  <c:v>0.14285714285714285</c:v>
                </c:pt>
                <c:pt idx="3">
                  <c:v>0.13636363636363635</c:v>
                </c:pt>
                <c:pt idx="4">
                  <c:v>0.125</c:v>
                </c:pt>
                <c:pt idx="5">
                  <c:v>0.12658227848101267</c:v>
                </c:pt>
                <c:pt idx="6">
                  <c:v>0.12658227848101267</c:v>
                </c:pt>
                <c:pt idx="7">
                  <c:v>0.15463917525773196</c:v>
                </c:pt>
                <c:pt idx="8">
                  <c:v>0.11764705882352941</c:v>
                </c:pt>
                <c:pt idx="9">
                  <c:v>0.12371134020618557</c:v>
                </c:pt>
                <c:pt idx="10">
                  <c:v>9.7826086956521743E-2</c:v>
                </c:pt>
                <c:pt idx="11">
                  <c:v>0.14893617021276595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EB-4E68-ABD2-604BB02F73F5}"/>
            </c:ext>
          </c:extLst>
        </c:ser>
        <c:ser>
          <c:idx val="5"/>
          <c:order val="5"/>
          <c:tx>
            <c:strRef>
              <c:f>'Estad especif 2021'!$A$8</c:f>
              <c:strCache>
                <c:ptCount val="1"/>
                <c:pt idx="0">
                  <c:v>Autos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2021'!$B$8:$M$8</c:f>
              <c:numCache>
                <c:formatCode>0%</c:formatCode>
                <c:ptCount val="12"/>
                <c:pt idx="0">
                  <c:v>0.14285714285714285</c:v>
                </c:pt>
                <c:pt idx="1">
                  <c:v>0.10810810810810811</c:v>
                </c:pt>
                <c:pt idx="2">
                  <c:v>4.7619047619047616E-2</c:v>
                </c:pt>
                <c:pt idx="3">
                  <c:v>4.5454545454545456E-2</c:v>
                </c:pt>
                <c:pt idx="4">
                  <c:v>3.125E-2</c:v>
                </c:pt>
                <c:pt idx="5">
                  <c:v>2.5316455696202531E-2</c:v>
                </c:pt>
                <c:pt idx="6">
                  <c:v>5.0632911392405063E-2</c:v>
                </c:pt>
                <c:pt idx="7">
                  <c:v>4.1237113402061855E-2</c:v>
                </c:pt>
                <c:pt idx="8">
                  <c:v>1.4705882352941176E-2</c:v>
                </c:pt>
                <c:pt idx="9">
                  <c:v>1.0309278350515464E-2</c:v>
                </c:pt>
                <c:pt idx="10">
                  <c:v>3.2608695652173912E-2</c:v>
                </c:pt>
                <c:pt idx="11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EB-4E68-ABD2-604BB02F73F5}"/>
            </c:ext>
          </c:extLst>
        </c:ser>
        <c:ser>
          <c:idx val="6"/>
          <c:order val="6"/>
          <c:tx>
            <c:strRef>
              <c:f>'Estad especif 2021'!$A$9</c:f>
              <c:strCache>
                <c:ptCount val="1"/>
                <c:pt idx="0">
                  <c:v>Colchones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2021'!$B$9:$M$9</c:f>
              <c:numCache>
                <c:formatCode>0%</c:formatCode>
                <c:ptCount val="12"/>
                <c:pt idx="0">
                  <c:v>0.21428571428571427</c:v>
                </c:pt>
                <c:pt idx="1">
                  <c:v>0.24324324324324326</c:v>
                </c:pt>
                <c:pt idx="2">
                  <c:v>9.5238095238095233E-2</c:v>
                </c:pt>
                <c:pt idx="3">
                  <c:v>0.16666666666666666</c:v>
                </c:pt>
                <c:pt idx="4">
                  <c:v>0.234375</c:v>
                </c:pt>
                <c:pt idx="5">
                  <c:v>0.16455696202531644</c:v>
                </c:pt>
                <c:pt idx="6">
                  <c:v>0.11392405063291139</c:v>
                </c:pt>
                <c:pt idx="7">
                  <c:v>0.15463917525773196</c:v>
                </c:pt>
                <c:pt idx="8">
                  <c:v>0.23529411764705882</c:v>
                </c:pt>
                <c:pt idx="9">
                  <c:v>0.14432989690721648</c:v>
                </c:pt>
                <c:pt idx="10">
                  <c:v>0.17391304347826086</c:v>
                </c:pt>
                <c:pt idx="11">
                  <c:v>8.5106382978723402E-2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EB-4E68-ABD2-604BB02F73F5}"/>
            </c:ext>
          </c:extLst>
        </c:ser>
        <c:ser>
          <c:idx val="7"/>
          <c:order val="7"/>
          <c:tx>
            <c:strRef>
              <c:f>'Estad especif 2021'!$A$10</c:f>
              <c:strCache>
                <c:ptCount val="1"/>
                <c:pt idx="0">
                  <c:v>Futón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2021'!$B$10:$M$10</c:f>
              <c:numCache>
                <c:formatCode>0%</c:formatCode>
                <c:ptCount val="12"/>
                <c:pt idx="0">
                  <c:v>7.1428571428571425E-2</c:v>
                </c:pt>
                <c:pt idx="1">
                  <c:v>0</c:v>
                </c:pt>
                <c:pt idx="2">
                  <c:v>0.14285714285714285</c:v>
                </c:pt>
                <c:pt idx="3">
                  <c:v>1.5151515151515152E-2</c:v>
                </c:pt>
                <c:pt idx="4">
                  <c:v>4.6875E-2</c:v>
                </c:pt>
                <c:pt idx="5">
                  <c:v>5.0632911392405063E-2</c:v>
                </c:pt>
                <c:pt idx="6">
                  <c:v>3.7974683544303799E-2</c:v>
                </c:pt>
                <c:pt idx="7">
                  <c:v>5.1546391752577317E-2</c:v>
                </c:pt>
                <c:pt idx="8">
                  <c:v>0</c:v>
                </c:pt>
                <c:pt idx="9">
                  <c:v>1.0309278350515464E-2</c:v>
                </c:pt>
                <c:pt idx="10">
                  <c:v>1.0869565217391304E-2</c:v>
                </c:pt>
                <c:pt idx="11">
                  <c:v>1.0638297872340425E-2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EB-4E68-ABD2-604BB02F73F5}"/>
            </c:ext>
          </c:extLst>
        </c:ser>
        <c:ser>
          <c:idx val="8"/>
          <c:order val="8"/>
          <c:tx>
            <c:strRef>
              <c:f>'Estad especif 2021'!$A$11</c:f>
              <c:strCache>
                <c:ptCount val="1"/>
                <c:pt idx="0">
                  <c:v>Otro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2021'!$B$1:$M$2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2021'!$B$11:$M$11</c:f>
              <c:numCache>
                <c:formatCode>0%</c:formatCode>
                <c:ptCount val="12"/>
                <c:pt idx="0">
                  <c:v>7.1428571428571425E-2</c:v>
                </c:pt>
                <c:pt idx="1">
                  <c:v>0.1891891891891892</c:v>
                </c:pt>
                <c:pt idx="2">
                  <c:v>4.7619047619047616E-2</c:v>
                </c:pt>
                <c:pt idx="3">
                  <c:v>0.12121212121212122</c:v>
                </c:pt>
                <c:pt idx="4">
                  <c:v>6.25E-2</c:v>
                </c:pt>
                <c:pt idx="5">
                  <c:v>0.12658227848101267</c:v>
                </c:pt>
                <c:pt idx="6">
                  <c:v>8.8607594936708861E-2</c:v>
                </c:pt>
                <c:pt idx="7">
                  <c:v>0.17525773195876287</c:v>
                </c:pt>
                <c:pt idx="8">
                  <c:v>0.10294117647058823</c:v>
                </c:pt>
                <c:pt idx="9">
                  <c:v>0.15463917525773196</c:v>
                </c:pt>
                <c:pt idx="10">
                  <c:v>0.15217391304347827</c:v>
                </c:pt>
                <c:pt idx="11">
                  <c:v>0.10638297872340426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EB-4E68-ABD2-604BB02F7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48214272"/>
        <c:axId val="248215808"/>
      </c:barChart>
      <c:catAx>
        <c:axId val="248214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215808"/>
        <c:crosses val="autoZero"/>
        <c:auto val="1"/>
        <c:lblAlgn val="ctr"/>
        <c:lblOffset val="100"/>
        <c:noMultiLvlLbl val="0"/>
      </c:catAx>
      <c:valAx>
        <c:axId val="248215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21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servicio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 especif 2021'!$A$15</c:f>
              <c:strCache>
                <c:ptCount val="1"/>
                <c:pt idx="0">
                  <c:v>Senc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2021'!$B$15:$M$15</c:f>
              <c:numCache>
                <c:formatCode>0%</c:formatCode>
                <c:ptCount val="12"/>
                <c:pt idx="0">
                  <c:v>0</c:v>
                </c:pt>
                <c:pt idx="1">
                  <c:v>0.15</c:v>
                </c:pt>
                <c:pt idx="2">
                  <c:v>0.40909090909090912</c:v>
                </c:pt>
                <c:pt idx="3">
                  <c:v>0.34782608695652173</c:v>
                </c:pt>
                <c:pt idx="4">
                  <c:v>0.33333333333333331</c:v>
                </c:pt>
                <c:pt idx="5">
                  <c:v>0.44086021505376344</c:v>
                </c:pt>
                <c:pt idx="6">
                  <c:v>0.30588235294117649</c:v>
                </c:pt>
                <c:pt idx="7">
                  <c:v>0.38834951456310679</c:v>
                </c:pt>
                <c:pt idx="8">
                  <c:v>0.20833333333333334</c:v>
                </c:pt>
                <c:pt idx="9">
                  <c:v>0.47706422018348627</c:v>
                </c:pt>
                <c:pt idx="10">
                  <c:v>0.37755102040816324</c:v>
                </c:pt>
                <c:pt idx="11">
                  <c:v>0.44117647058823528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A-47B0-B826-193BBA8E1CA8}"/>
            </c:ext>
          </c:extLst>
        </c:ser>
        <c:ser>
          <c:idx val="1"/>
          <c:order val="1"/>
          <c:tx>
            <c:strRef>
              <c:f>'Estad especif 2021'!$A$16</c:f>
              <c:strCache>
                <c:ptCount val="1"/>
                <c:pt idx="0">
                  <c:v>Eco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2021'!$B$16:$M$16</c:f>
              <c:numCache>
                <c:formatCode>0%</c:formatCode>
                <c:ptCount val="12"/>
                <c:pt idx="0">
                  <c:v>0.375</c:v>
                </c:pt>
                <c:pt idx="1">
                  <c:v>0.57499999999999996</c:v>
                </c:pt>
                <c:pt idx="2">
                  <c:v>0.13636363636363635</c:v>
                </c:pt>
                <c:pt idx="3">
                  <c:v>0.18840579710144928</c:v>
                </c:pt>
                <c:pt idx="4">
                  <c:v>0.27777777777777779</c:v>
                </c:pt>
                <c:pt idx="5">
                  <c:v>0.15053763440860216</c:v>
                </c:pt>
                <c:pt idx="6">
                  <c:v>0.18823529411764706</c:v>
                </c:pt>
                <c:pt idx="7">
                  <c:v>0.13592233009708737</c:v>
                </c:pt>
                <c:pt idx="8">
                  <c:v>0.19444444444444445</c:v>
                </c:pt>
                <c:pt idx="9">
                  <c:v>8.2568807339449546E-2</c:v>
                </c:pt>
                <c:pt idx="10">
                  <c:v>0.23469387755102042</c:v>
                </c:pt>
                <c:pt idx="11">
                  <c:v>7.8431372549019607E-2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BA-47B0-B826-193BBA8E1CA8}"/>
            </c:ext>
          </c:extLst>
        </c:ser>
        <c:ser>
          <c:idx val="2"/>
          <c:order val="2"/>
          <c:tx>
            <c:strRef>
              <c:f>'Estad especif 2021'!$A$17</c:f>
              <c:strCache>
                <c:ptCount val="1"/>
                <c:pt idx="0">
                  <c:v>Prot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2021'!$B$17:$M$17</c:f>
              <c:numCache>
                <c:formatCode>0%</c:formatCode>
                <c:ptCount val="12"/>
                <c:pt idx="0">
                  <c:v>0.1875</c:v>
                </c:pt>
                <c:pt idx="1">
                  <c:v>7.4999999999999997E-2</c:v>
                </c:pt>
                <c:pt idx="2">
                  <c:v>0.18181818181818182</c:v>
                </c:pt>
                <c:pt idx="3">
                  <c:v>0.17391304347826086</c:v>
                </c:pt>
                <c:pt idx="4">
                  <c:v>9.7222222222222224E-2</c:v>
                </c:pt>
                <c:pt idx="5">
                  <c:v>8.6021505376344093E-2</c:v>
                </c:pt>
                <c:pt idx="6">
                  <c:v>0.17647058823529413</c:v>
                </c:pt>
                <c:pt idx="7">
                  <c:v>0.12621359223300971</c:v>
                </c:pt>
                <c:pt idx="8">
                  <c:v>0.20833333333333334</c:v>
                </c:pt>
                <c:pt idx="9">
                  <c:v>0.12844036697247707</c:v>
                </c:pt>
                <c:pt idx="10">
                  <c:v>0.1326530612244898</c:v>
                </c:pt>
                <c:pt idx="11">
                  <c:v>0.13725490196078433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BA-47B0-B826-193BBA8E1CA8}"/>
            </c:ext>
          </c:extLst>
        </c:ser>
        <c:ser>
          <c:idx val="3"/>
          <c:order val="3"/>
          <c:tx>
            <c:strRef>
              <c:f>'Estad especif 2021'!$A$18</c:f>
              <c:strCache>
                <c:ptCount val="1"/>
                <c:pt idx="0">
                  <c:v>Prem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2021'!$B$18:$M$18</c:f>
              <c:numCache>
                <c:formatCode>0%</c:formatCode>
                <c:ptCount val="12"/>
                <c:pt idx="0">
                  <c:v>0.1875</c:v>
                </c:pt>
                <c:pt idx="1">
                  <c:v>7.4999999999999997E-2</c:v>
                </c:pt>
                <c:pt idx="2">
                  <c:v>0.13636363636363635</c:v>
                </c:pt>
                <c:pt idx="3">
                  <c:v>4.3478260869565216E-2</c:v>
                </c:pt>
                <c:pt idx="4">
                  <c:v>0.1388888888888889</c:v>
                </c:pt>
                <c:pt idx="5">
                  <c:v>0.12903225806451613</c:v>
                </c:pt>
                <c:pt idx="6">
                  <c:v>9.4117647058823528E-2</c:v>
                </c:pt>
                <c:pt idx="7">
                  <c:v>0.25242718446601942</c:v>
                </c:pt>
                <c:pt idx="8">
                  <c:v>0.27777777777777779</c:v>
                </c:pt>
                <c:pt idx="9">
                  <c:v>0.12844036697247707</c:v>
                </c:pt>
                <c:pt idx="10">
                  <c:v>5.1020408163265307E-2</c:v>
                </c:pt>
                <c:pt idx="11">
                  <c:v>0.12745098039215685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BA-47B0-B826-193BBA8E1CA8}"/>
            </c:ext>
          </c:extLst>
        </c:ser>
        <c:ser>
          <c:idx val="4"/>
          <c:order val="4"/>
          <c:tx>
            <c:strRef>
              <c:f>'Estad especif 2021'!$A$19</c:f>
              <c:strCache>
                <c:ptCount val="1"/>
                <c:pt idx="0">
                  <c:v>Healty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2021'!$B$19:$M$19</c:f>
              <c:numCache>
                <c:formatCode>0%</c:formatCode>
                <c:ptCount val="12"/>
                <c:pt idx="0">
                  <c:v>6.25E-2</c:v>
                </c:pt>
                <c:pt idx="1">
                  <c:v>0.05</c:v>
                </c:pt>
                <c:pt idx="2">
                  <c:v>4.5454545454545456E-2</c:v>
                </c:pt>
                <c:pt idx="3">
                  <c:v>0.14492753623188406</c:v>
                </c:pt>
                <c:pt idx="4">
                  <c:v>2.7777777777777776E-2</c:v>
                </c:pt>
                <c:pt idx="5">
                  <c:v>3.2258064516129031E-2</c:v>
                </c:pt>
                <c:pt idx="6">
                  <c:v>8.2352941176470587E-2</c:v>
                </c:pt>
                <c:pt idx="7">
                  <c:v>9.7087378640776691E-3</c:v>
                </c:pt>
                <c:pt idx="8">
                  <c:v>1.3888888888888888E-2</c:v>
                </c:pt>
                <c:pt idx="9">
                  <c:v>6.4220183486238536E-2</c:v>
                </c:pt>
                <c:pt idx="10">
                  <c:v>0.10204081632653061</c:v>
                </c:pt>
                <c:pt idx="11">
                  <c:v>0.15686274509803921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BA-47B0-B826-193BBA8E1CA8}"/>
            </c:ext>
          </c:extLst>
        </c:ser>
        <c:ser>
          <c:idx val="5"/>
          <c:order val="5"/>
          <c:tx>
            <c:strRef>
              <c:f>'Estad especif 2021'!$A$20</c:f>
              <c:strCache>
                <c:ptCount val="1"/>
                <c:pt idx="0">
                  <c:v>Protex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2021'!$B$20:$M$20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2.8985507246376812E-2</c:v>
                </c:pt>
                <c:pt idx="4">
                  <c:v>1.3888888888888888E-2</c:v>
                </c:pt>
                <c:pt idx="5">
                  <c:v>0</c:v>
                </c:pt>
                <c:pt idx="6">
                  <c:v>1.1764705882352941E-2</c:v>
                </c:pt>
                <c:pt idx="7">
                  <c:v>9.7087378640776691E-3</c:v>
                </c:pt>
                <c:pt idx="8">
                  <c:v>0</c:v>
                </c:pt>
                <c:pt idx="9">
                  <c:v>0</c:v>
                </c:pt>
                <c:pt idx="10">
                  <c:v>2.0408163265306121E-2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BA-47B0-B826-193BBA8E1CA8}"/>
            </c:ext>
          </c:extLst>
        </c:ser>
        <c:ser>
          <c:idx val="6"/>
          <c:order val="6"/>
          <c:tx>
            <c:strRef>
              <c:f>'Estad especif 2021'!$A$21</c:f>
              <c:strCache>
                <c:ptCount val="1"/>
                <c:pt idx="0">
                  <c:v>Aspirado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2021'!$B$21:$M$21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1.4492753623188406E-2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BA-47B0-B826-193BBA8E1CA8}"/>
            </c:ext>
          </c:extLst>
        </c:ser>
        <c:ser>
          <c:idx val="7"/>
          <c:order val="7"/>
          <c:tx>
            <c:strRef>
              <c:f>'Estad especif 2021'!$A$22</c:f>
              <c:strCache>
                <c:ptCount val="1"/>
                <c:pt idx="0">
                  <c:v>Extracción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2021'!$B$22:$M$22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1.1764705882352941E-2</c:v>
                </c:pt>
                <c:pt idx="7">
                  <c:v>9.7087378640776691E-3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BA-47B0-B826-193BBA8E1CA8}"/>
            </c:ext>
          </c:extLst>
        </c:ser>
        <c:ser>
          <c:idx val="8"/>
          <c:order val="8"/>
          <c:tx>
            <c:strRef>
              <c:f>'Estad especif 2021'!$A$23</c:f>
              <c:strCache>
                <c:ptCount val="1"/>
                <c:pt idx="0">
                  <c:v>Piel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2021'!$B$23:$M$23</c:f>
              <c:numCache>
                <c:formatCode>0%</c:formatCode>
                <c:ptCount val="12"/>
                <c:pt idx="0">
                  <c:v>0.125</c:v>
                </c:pt>
                <c:pt idx="1">
                  <c:v>0</c:v>
                </c:pt>
                <c:pt idx="2">
                  <c:v>4.5454545454545456E-2</c:v>
                </c:pt>
                <c:pt idx="3">
                  <c:v>1.4492753623188406E-2</c:v>
                </c:pt>
                <c:pt idx="4">
                  <c:v>0</c:v>
                </c:pt>
                <c:pt idx="5">
                  <c:v>1.0752688172043012E-2</c:v>
                </c:pt>
                <c:pt idx="6">
                  <c:v>4.7058823529411764E-2</c:v>
                </c:pt>
                <c:pt idx="7">
                  <c:v>0</c:v>
                </c:pt>
                <c:pt idx="8">
                  <c:v>0</c:v>
                </c:pt>
                <c:pt idx="9">
                  <c:v>9.1743119266055051E-3</c:v>
                </c:pt>
                <c:pt idx="10">
                  <c:v>2.0408163265306121E-2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BA-47B0-B826-193BBA8E1CA8}"/>
            </c:ext>
          </c:extLst>
        </c:ser>
        <c:ser>
          <c:idx val="9"/>
          <c:order val="9"/>
          <c:tx>
            <c:strRef>
              <c:f>'Estad especif 2021'!$A$24</c:f>
              <c:strCache>
                <c:ptCount val="1"/>
                <c:pt idx="0">
                  <c:v>PURT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'Estad especif 2021'!$B$13:$M$14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Mes</c:v>
                  </c:pt>
                </c:lvl>
              </c:multiLvlStrCache>
            </c:multiLvlStrRef>
          </c:cat>
          <c:val>
            <c:numRef>
              <c:f>'Estad especif 2021'!$B$24:$M$24</c:f>
              <c:numCache>
                <c:formatCode>0%</c:formatCode>
                <c:ptCount val="12"/>
                <c:pt idx="0">
                  <c:v>0.125</c:v>
                </c:pt>
                <c:pt idx="1">
                  <c:v>7.4999999999999997E-2</c:v>
                </c:pt>
                <c:pt idx="2">
                  <c:v>4.5454545454545456E-2</c:v>
                </c:pt>
                <c:pt idx="3">
                  <c:v>4.3478260869565216E-2</c:v>
                </c:pt>
                <c:pt idx="4">
                  <c:v>0.1111111111111111</c:v>
                </c:pt>
                <c:pt idx="5">
                  <c:v>0.15053763440860216</c:v>
                </c:pt>
                <c:pt idx="6">
                  <c:v>8.2352941176470587E-2</c:v>
                </c:pt>
                <c:pt idx="7">
                  <c:v>5.8252427184466021E-2</c:v>
                </c:pt>
                <c:pt idx="8">
                  <c:v>9.7222222222222224E-2</c:v>
                </c:pt>
                <c:pt idx="9">
                  <c:v>0.11009174311926606</c:v>
                </c:pt>
                <c:pt idx="10">
                  <c:v>6.1224489795918366E-2</c:v>
                </c:pt>
                <c:pt idx="11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BA-47B0-B826-193BBA8E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48379264"/>
        <c:axId val="248380800"/>
      </c:barChart>
      <c:catAx>
        <c:axId val="248379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380800"/>
        <c:crosses val="autoZero"/>
        <c:auto val="1"/>
        <c:lblAlgn val="ctr"/>
        <c:lblOffset val="100"/>
        <c:noMultiLvlLbl val="0"/>
      </c:catAx>
      <c:valAx>
        <c:axId val="248380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37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Mueble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D0-419A-A666-59FB512B1A3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D0-419A-A666-59FB512B1A3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D0-419A-A666-59FB512B1A3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D0-419A-A666-59FB512B1A3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D0-419A-A666-59FB512B1A3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CD0-419A-A666-59FB512B1A3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CD0-419A-A666-59FB512B1A3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CD0-419A-A666-59FB512B1A3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CD0-419A-A666-59FB512B1A32}"/>
              </c:ext>
            </c:extLst>
          </c:dPt>
          <c:cat>
            <c:strRef>
              <c:f>'Estad especif 2021'!$N$3:$N$11</c:f>
              <c:strCache>
                <c:ptCount val="9"/>
                <c:pt idx="0">
                  <c:v>Alfombra</c:v>
                </c:pt>
                <c:pt idx="1">
                  <c:v>Tapete</c:v>
                </c:pt>
                <c:pt idx="2">
                  <c:v>Sala</c:v>
                </c:pt>
                <c:pt idx="3">
                  <c:v>Sala piel</c:v>
                </c:pt>
                <c:pt idx="4">
                  <c:v>Sillas</c:v>
                </c:pt>
                <c:pt idx="5">
                  <c:v>Autos</c:v>
                </c:pt>
                <c:pt idx="6">
                  <c:v>Colchones</c:v>
                </c:pt>
                <c:pt idx="7">
                  <c:v>Futón</c:v>
                </c:pt>
                <c:pt idx="8">
                  <c:v>Otro</c:v>
                </c:pt>
              </c:strCache>
            </c:strRef>
          </c:cat>
          <c:val>
            <c:numRef>
              <c:f>'Estad especif 2021'!$O$3:$O$11</c:f>
              <c:numCache>
                <c:formatCode>0%</c:formatCode>
                <c:ptCount val="9"/>
                <c:pt idx="0">
                  <c:v>3.3758613240336778E-2</c:v>
                </c:pt>
                <c:pt idx="1">
                  <c:v>0.18768065141317028</c:v>
                </c:pt>
                <c:pt idx="2">
                  <c:v>0.27837850958812022</c:v>
                </c:pt>
                <c:pt idx="3">
                  <c:v>1.7018518877394671E-2</c:v>
                </c:pt>
                <c:pt idx="4">
                  <c:v>0.11880231609351373</c:v>
                </c:pt>
                <c:pt idx="5">
                  <c:v>4.7614648052485414E-2</c:v>
                </c:pt>
                <c:pt idx="6">
                  <c:v>0.16879769569674488</c:v>
                </c:pt>
                <c:pt idx="7">
                  <c:v>3.7356946463896902E-2</c:v>
                </c:pt>
                <c:pt idx="8">
                  <c:v>0.11654448152671805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8-45A1-A03B-E66C3960F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de servicio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3E-44A8-8E82-B688954BFD3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3E-44A8-8E82-B688954BFD3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3E-44A8-8E82-B688954BFD3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3E-44A8-8E82-B688954BFD3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13E-44A8-8E82-B688954BFD3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13E-44A8-8E82-B688954BFD3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13E-44A8-8E82-B688954BFD3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13E-44A8-8E82-B688954BFD3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13E-44A8-8E82-B688954BFD3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13E-44A8-8E82-B688954BFD3C}"/>
              </c:ext>
            </c:extLst>
          </c:dPt>
          <c:cat>
            <c:strRef>
              <c:f>'Estad especif 2021'!$N$15:$N$24</c:f>
              <c:strCache>
                <c:ptCount val="10"/>
                <c:pt idx="0">
                  <c:v>Senc</c:v>
                </c:pt>
                <c:pt idx="1">
                  <c:v>Eco</c:v>
                </c:pt>
                <c:pt idx="2">
                  <c:v>Prot</c:v>
                </c:pt>
                <c:pt idx="3">
                  <c:v>Prem</c:v>
                </c:pt>
                <c:pt idx="4">
                  <c:v>Healty</c:v>
                </c:pt>
                <c:pt idx="5">
                  <c:v>Protex</c:v>
                </c:pt>
                <c:pt idx="6">
                  <c:v>Aspirado</c:v>
                </c:pt>
                <c:pt idx="7">
                  <c:v>Extracción</c:v>
                </c:pt>
                <c:pt idx="8">
                  <c:v>Piel</c:v>
                </c:pt>
                <c:pt idx="9">
                  <c:v>PURT</c:v>
                </c:pt>
              </c:strCache>
            </c:strRef>
          </c:cat>
          <c:val>
            <c:numRef>
              <c:f>'Estad especif 2021'!$O$15:$O$24</c:f>
              <c:numCache>
                <c:formatCode>0%</c:formatCode>
                <c:ptCount val="10"/>
                <c:pt idx="0">
                  <c:v>0.32328895470433577</c:v>
                </c:pt>
                <c:pt idx="1">
                  <c:v>0.21811508097917787</c:v>
                </c:pt>
                <c:pt idx="2">
                  <c:v>0.1425700664045331</c:v>
                </c:pt>
                <c:pt idx="3">
                  <c:v>0.13679145075142721</c:v>
                </c:pt>
                <c:pt idx="4">
                  <c:v>6.5999353068381825E-2</c:v>
                </c:pt>
                <c:pt idx="5">
                  <c:v>7.0630002622502014E-3</c:v>
                </c:pt>
                <c:pt idx="6">
                  <c:v>1.2077294685990338E-3</c:v>
                </c:pt>
                <c:pt idx="7">
                  <c:v>1.7894536455358842E-3</c:v>
                </c:pt>
                <c:pt idx="8">
                  <c:v>2.2695107164258359E-2</c:v>
                </c:pt>
                <c:pt idx="9">
                  <c:v>8.4879075396160977E-2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D-4BA0-8578-66102933A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sala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2D-4981-AC08-6035269264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2D-4981-AC08-6035269264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2D-4981-AC08-603526926447}"/>
              </c:ext>
            </c:extLst>
          </c:dPt>
          <c:cat>
            <c:strRef>
              <c:f>'Estad especif 2021'!$N$28:$N$30</c:f>
              <c:strCache>
                <c:ptCount val="3"/>
                <c:pt idx="0">
                  <c:v>Todo fijo</c:v>
                </c:pt>
                <c:pt idx="1">
                  <c:v>A o R removible</c:v>
                </c:pt>
                <c:pt idx="2">
                  <c:v>Todo Removible</c:v>
                </c:pt>
              </c:strCache>
            </c:strRef>
          </c:cat>
          <c:val>
            <c:numRef>
              <c:f>'Estad especif 2021'!$O$28:$O$30</c:f>
              <c:numCache>
                <c:formatCode>0%</c:formatCode>
                <c:ptCount val="3"/>
                <c:pt idx="0">
                  <c:v>0.48897370741669</c:v>
                </c:pt>
                <c:pt idx="1">
                  <c:v>0.33520061728395056</c:v>
                </c:pt>
                <c:pt idx="2">
                  <c:v>0.17582567529935947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4-4440-97B2-6BE7397F9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sala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B2-430B-9094-CB2448A2C0F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B2-430B-9094-CB2448A2C0F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B2-430B-9094-CB2448A2C0F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6B2-430B-9094-CB2448A2C0F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6B2-430B-9094-CB2448A2C0F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6B2-430B-9094-CB2448A2C0F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6B2-430B-9094-CB2448A2C0F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6B2-430B-9094-CB2448A2C0F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6B2-430B-9094-CB2448A2C0F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6B2-430B-9094-CB2448A2C0F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6B2-430B-9094-CB2448A2C0F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6B2-430B-9094-CB2448A2C0F0}"/>
              </c:ext>
            </c:extLst>
          </c:dPt>
          <c:cat>
            <c:strRef>
              <c:f>'Estad especif 2021'!$N$34:$N$45</c:f>
              <c:strCache>
                <c:ptCount val="12"/>
                <c:pt idx="0">
                  <c:v>1 Plaza</c:v>
                </c:pt>
                <c:pt idx="1">
                  <c:v>2 Plazas</c:v>
                </c:pt>
                <c:pt idx="2">
                  <c:v>3 Plazas</c:v>
                </c:pt>
                <c:pt idx="3">
                  <c:v>4 Plazas</c:v>
                </c:pt>
                <c:pt idx="4">
                  <c:v>5 Plazas</c:v>
                </c:pt>
                <c:pt idx="5">
                  <c:v>6 Plazas</c:v>
                </c:pt>
                <c:pt idx="6">
                  <c:v>7 Plazas</c:v>
                </c:pt>
                <c:pt idx="7">
                  <c:v>8 Plazas</c:v>
                </c:pt>
                <c:pt idx="8">
                  <c:v>9 Plazas</c:v>
                </c:pt>
                <c:pt idx="9">
                  <c:v>10 Plazas</c:v>
                </c:pt>
                <c:pt idx="10">
                  <c:v>11 Plazas</c:v>
                </c:pt>
                <c:pt idx="11">
                  <c:v>12 Plazas</c:v>
                </c:pt>
              </c:strCache>
            </c:strRef>
          </c:cat>
          <c:val>
            <c:numRef>
              <c:f>'Estad especif 2021'!$O$34:$O$45</c:f>
              <c:numCache>
                <c:formatCode>0%</c:formatCode>
                <c:ptCount val="12"/>
                <c:pt idx="0">
                  <c:v>6.6995498004269932E-2</c:v>
                </c:pt>
                <c:pt idx="1">
                  <c:v>7.8103128190847484E-2</c:v>
                </c:pt>
                <c:pt idx="2">
                  <c:v>0.11495764875150838</c:v>
                </c:pt>
                <c:pt idx="3">
                  <c:v>0.21222373062285341</c:v>
                </c:pt>
                <c:pt idx="4">
                  <c:v>0.20932040750023204</c:v>
                </c:pt>
                <c:pt idx="5">
                  <c:v>0.27421702404158538</c:v>
                </c:pt>
                <c:pt idx="6">
                  <c:v>2.2177550357374915E-2</c:v>
                </c:pt>
                <c:pt idx="7">
                  <c:v>1.8731783161607722E-2</c:v>
                </c:pt>
                <c:pt idx="8">
                  <c:v>2.976190476190476E-3</c:v>
                </c:pt>
                <c:pt idx="9">
                  <c:v>4.1666666666666666E-3</c:v>
                </c:pt>
                <c:pt idx="10">
                  <c:v>0</c:v>
                </c:pt>
                <c:pt idx="11">
                  <c:v>5.1691729323308268E-3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3-4141-A31D-D79FE2A31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tapete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07-40BD-B99A-B3E3C15579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07-40BD-B99A-B3E3C15579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07-40BD-B99A-B3E3C15579DF}"/>
              </c:ext>
            </c:extLst>
          </c:dPt>
          <c:cat>
            <c:strRef>
              <c:f>'Estad especif 2021'!$N$49:$N$51</c:f>
              <c:strCache>
                <c:ptCount val="3"/>
                <c:pt idx="0">
                  <c:v>Lana</c:v>
                </c:pt>
                <c:pt idx="1">
                  <c:v>Sintético</c:v>
                </c:pt>
                <c:pt idx="2">
                  <c:v>Seda</c:v>
                </c:pt>
              </c:strCache>
            </c:strRef>
          </c:cat>
          <c:val>
            <c:numRef>
              <c:f>'Estad especif 2021'!$O$49:$O$51</c:f>
              <c:numCache>
                <c:formatCode>0%</c:formatCode>
                <c:ptCount val="3"/>
                <c:pt idx="0">
                  <c:v>0.13221132897603485</c:v>
                </c:pt>
                <c:pt idx="1">
                  <c:v>0.85891845627139751</c:v>
                </c:pt>
                <c:pt idx="2">
                  <c:v>8.8702147525676935E-3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4-4132-82B0-2CFE1FC37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silla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2B-452D-87F4-24BEF18362D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2B-452D-87F4-24BEF18362D3}"/>
              </c:ext>
            </c:extLst>
          </c:dPt>
          <c:cat>
            <c:strRef>
              <c:f>'Estad especif 2021'!$N$55:$N$56</c:f>
              <c:strCache>
                <c:ptCount val="2"/>
                <c:pt idx="0">
                  <c:v>Asiento</c:v>
                </c:pt>
                <c:pt idx="1">
                  <c:v>Asiento y respaldo</c:v>
                </c:pt>
              </c:strCache>
            </c:strRef>
          </c:cat>
          <c:val>
            <c:numRef>
              <c:f>'Estad especif 2021'!$O$55:$O$56</c:f>
              <c:numCache>
                <c:formatCode>0%</c:formatCode>
                <c:ptCount val="2"/>
                <c:pt idx="0">
                  <c:v>0.22824074074074074</c:v>
                </c:pt>
                <c:pt idx="1">
                  <c:v>0.78366402116402112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3-45CD-A788-12D384540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Tamaño</a:t>
            </a:r>
            <a:r>
              <a:rPr lang="es-MX" baseline="0"/>
              <a:t> de colchón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B5-4FA2-B0CD-2076B5A5197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B5-4FA2-B0CD-2076B5A5197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B5-4FA2-B0CD-2076B5A5197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B5-4FA2-B0CD-2076B5A5197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B5-4FA2-B0CD-2076B5A5197F}"/>
              </c:ext>
            </c:extLst>
          </c:dPt>
          <c:cat>
            <c:strRef>
              <c:f>'Estad especif 2021'!$N$60:$N$64</c:f>
              <c:strCache>
                <c:ptCount val="5"/>
                <c:pt idx="0">
                  <c:v>Cuna</c:v>
                </c:pt>
                <c:pt idx="1">
                  <c:v>Ind</c:v>
                </c:pt>
                <c:pt idx="2">
                  <c:v>Mat</c:v>
                </c:pt>
                <c:pt idx="3">
                  <c:v>QS</c:v>
                </c:pt>
                <c:pt idx="4">
                  <c:v>KS</c:v>
                </c:pt>
              </c:strCache>
            </c:strRef>
          </c:cat>
          <c:val>
            <c:numRef>
              <c:f>'Estad especif 2021'!$O$60:$O$64</c:f>
              <c:numCache>
                <c:formatCode>0%</c:formatCode>
                <c:ptCount val="5"/>
                <c:pt idx="0">
                  <c:v>1.1160714285714286E-2</c:v>
                </c:pt>
                <c:pt idx="1">
                  <c:v>0.25921786546786546</c:v>
                </c:pt>
                <c:pt idx="2">
                  <c:v>0.28816149128649127</c:v>
                </c:pt>
                <c:pt idx="3">
                  <c:v>0.13989540552040552</c:v>
                </c:pt>
                <c:pt idx="4">
                  <c:v>0.30156452343952345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4-4480-86E4-44B4E568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Otro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B1-40B8-9FDA-31390926A31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B1-40B8-9FDA-31390926A31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B1-40B8-9FDA-31390926A31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B1-40B8-9FDA-31390926A31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B1-40B8-9FDA-31390926A31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3B1-40B8-9FDA-31390926A31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3B1-40B8-9FDA-31390926A31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3B1-40B8-9FDA-31390926A31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3B1-40B8-9FDA-31390926A31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3B1-40B8-9FDA-31390926A310}"/>
              </c:ext>
            </c:extLst>
          </c:dPt>
          <c:cat>
            <c:strRef>
              <c:f>'Estad especif 2021'!$N$68:$N$77</c:f>
              <c:strCache>
                <c:ptCount val="10"/>
                <c:pt idx="0">
                  <c:v>Taburete</c:v>
                </c:pt>
                <c:pt idx="1">
                  <c:v>Cabecera</c:v>
                </c:pt>
                <c:pt idx="2">
                  <c:v>Carriola y porta bebé</c:v>
                </c:pt>
                <c:pt idx="3">
                  <c:v>Piso</c:v>
                </c:pt>
                <c:pt idx="4">
                  <c:v>Cojines</c:v>
                </c:pt>
                <c:pt idx="5">
                  <c:v>Banca</c:v>
                </c:pt>
                <c:pt idx="6">
                  <c:v>Banco</c:v>
                </c:pt>
                <c:pt idx="7">
                  <c:v>Reposet</c:v>
                </c:pt>
                <c:pt idx="8">
                  <c:v>Colchón interno</c:v>
                </c:pt>
                <c:pt idx="9">
                  <c:v>Torre de gatos</c:v>
                </c:pt>
              </c:strCache>
            </c:strRef>
          </c:cat>
          <c:val>
            <c:numRef>
              <c:f>'Estad especif 2021'!$O$68:$O$77</c:f>
              <c:numCache>
                <c:formatCode>0%</c:formatCode>
                <c:ptCount val="10"/>
                <c:pt idx="0">
                  <c:v>0.24336940836940835</c:v>
                </c:pt>
                <c:pt idx="1">
                  <c:v>3.8534080298786182E-2</c:v>
                </c:pt>
                <c:pt idx="2">
                  <c:v>5.5019735166793989E-2</c:v>
                </c:pt>
                <c:pt idx="3">
                  <c:v>2.8473389355742298E-2</c:v>
                </c:pt>
                <c:pt idx="4">
                  <c:v>0.25322075800016974</c:v>
                </c:pt>
                <c:pt idx="5">
                  <c:v>0.21319317120787715</c:v>
                </c:pt>
                <c:pt idx="6">
                  <c:v>3.6630485527544353E-2</c:v>
                </c:pt>
                <c:pt idx="7">
                  <c:v>8.7794011544011549E-2</c:v>
                </c:pt>
                <c:pt idx="8">
                  <c:v>3.2813852813852816E-2</c:v>
                </c:pt>
                <c:pt idx="9">
                  <c:v>1.1666666666666667E-2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A-48A3-B2B0-23CC453D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Tipo</a:t>
            </a:r>
            <a:r>
              <a:rPr lang="es-MX" baseline="0"/>
              <a:t> de Repetición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 especif 2021'!$A$85</c:f>
              <c:strCache>
                <c:ptCount val="1"/>
                <c:pt idx="0">
                  <c:v>Entrada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 especif 2021'!$B$84:$M$84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'Estad especif 2021'!$B$85:$M$85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0.88888888888888884</c:v>
                </c:pt>
                <c:pt idx="10">
                  <c:v>0.7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0-433D-9CEA-151D378FDBF5}"/>
            </c:ext>
          </c:extLst>
        </c:ser>
        <c:ser>
          <c:idx val="1"/>
          <c:order val="1"/>
          <c:tx>
            <c:strRef>
              <c:f>'Estad especif 2021'!$A$86</c:f>
              <c:strCache>
                <c:ptCount val="1"/>
                <c:pt idx="0">
                  <c:v>Salida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'Estad especif 2021'!$B$84:$M$84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'Estad especif 2021'!$B$86:$M$86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0.1111111111111111</c:v>
                </c:pt>
                <c:pt idx="10">
                  <c:v>0.3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0-433D-9CEA-151D378FD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9178752"/>
        <c:axId val="249184640"/>
      </c:barChart>
      <c:catAx>
        <c:axId val="2491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184640"/>
        <c:crosses val="autoZero"/>
        <c:auto val="1"/>
        <c:lblAlgn val="ctr"/>
        <c:lblOffset val="100"/>
        <c:noMultiLvlLbl val="0"/>
      </c:catAx>
      <c:valAx>
        <c:axId val="2491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917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14286</xdr:rowOff>
    </xdr:from>
    <xdr:to>
      <xdr:col>6</xdr:col>
      <xdr:colOff>57150</xdr:colOff>
      <xdr:row>39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323850</xdr:colOff>
      <xdr:row>19</xdr:row>
      <xdr:rowOff>190499</xdr:rowOff>
    </xdr:from>
    <xdr:to>
      <xdr:col>14</xdr:col>
      <xdr:colOff>47625</xdr:colOff>
      <xdr:row>39</xdr:row>
      <xdr:rowOff>142874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147637</xdr:rowOff>
    </xdr:from>
    <xdr:to>
      <xdr:col>6</xdr:col>
      <xdr:colOff>9524</xdr:colOff>
      <xdr:row>61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381001</xdr:colOff>
      <xdr:row>41</xdr:row>
      <xdr:rowOff>176212</xdr:rowOff>
    </xdr:from>
    <xdr:to>
      <xdr:col>14</xdr:col>
      <xdr:colOff>76200</xdr:colOff>
      <xdr:row>60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76201</xdr:colOff>
      <xdr:row>63</xdr:row>
      <xdr:rowOff>71437</xdr:rowOff>
    </xdr:from>
    <xdr:to>
      <xdr:col>6</xdr:col>
      <xdr:colOff>28575</xdr:colOff>
      <xdr:row>80</xdr:row>
      <xdr:rowOff>66675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371475</xdr:colOff>
      <xdr:row>63</xdr:row>
      <xdr:rowOff>52387</xdr:rowOff>
    </xdr:from>
    <xdr:to>
      <xdr:col>14</xdr:col>
      <xdr:colOff>95250</xdr:colOff>
      <xdr:row>80</xdr:row>
      <xdr:rowOff>104775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76200</xdr:colOff>
      <xdr:row>83</xdr:row>
      <xdr:rowOff>80961</xdr:rowOff>
    </xdr:from>
    <xdr:to>
      <xdr:col>6</xdr:col>
      <xdr:colOff>57150</xdr:colOff>
      <xdr:row>101</xdr:row>
      <xdr:rowOff>161924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381000</xdr:colOff>
      <xdr:row>82</xdr:row>
      <xdr:rowOff>185737</xdr:rowOff>
    </xdr:from>
    <xdr:to>
      <xdr:col>14</xdr:col>
      <xdr:colOff>152400</xdr:colOff>
      <xdr:row>102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107</xdr:row>
      <xdr:rowOff>180975</xdr:rowOff>
    </xdr:from>
    <xdr:to>
      <xdr:col>5</xdr:col>
      <xdr:colOff>752474</xdr:colOff>
      <xdr:row>126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400048</xdr:colOff>
      <xdr:row>107</xdr:row>
      <xdr:rowOff>185736</xdr:rowOff>
    </xdr:from>
    <xdr:to>
      <xdr:col>20</xdr:col>
      <xdr:colOff>761999</xdr:colOff>
      <xdr:row>125</xdr:row>
      <xdr:rowOff>171449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127</xdr:row>
      <xdr:rowOff>19051</xdr:rowOff>
    </xdr:from>
    <xdr:to>
      <xdr:col>6</xdr:col>
      <xdr:colOff>9524</xdr:colOff>
      <xdr:row>145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485774</xdr:colOff>
      <xdr:row>127</xdr:row>
      <xdr:rowOff>14287</xdr:rowOff>
    </xdr:from>
    <xdr:to>
      <xdr:col>14</xdr:col>
      <xdr:colOff>438149</xdr:colOff>
      <xdr:row>145</xdr:row>
      <xdr:rowOff>9525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147</xdr:row>
      <xdr:rowOff>9525</xdr:rowOff>
    </xdr:from>
    <xdr:to>
      <xdr:col>6</xdr:col>
      <xdr:colOff>9524</xdr:colOff>
      <xdr:row>165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533399</xdr:colOff>
      <xdr:row>147</xdr:row>
      <xdr:rowOff>14286</xdr:rowOff>
    </xdr:from>
    <xdr:to>
      <xdr:col>16</xdr:col>
      <xdr:colOff>0</xdr:colOff>
      <xdr:row>165</xdr:row>
      <xdr:rowOff>19049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168</xdr:row>
      <xdr:rowOff>185736</xdr:rowOff>
    </xdr:from>
    <xdr:to>
      <xdr:col>6</xdr:col>
      <xdr:colOff>9525</xdr:colOff>
      <xdr:row>187</xdr:row>
      <xdr:rowOff>19049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87</xdr:row>
      <xdr:rowOff>33337</xdr:rowOff>
    </xdr:from>
    <xdr:to>
      <xdr:col>6</xdr:col>
      <xdr:colOff>571500</xdr:colOff>
      <xdr:row>106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9524</xdr:colOff>
      <xdr:row>87</xdr:row>
      <xdr:rowOff>4761</xdr:rowOff>
    </xdr:from>
    <xdr:to>
      <xdr:col>21</xdr:col>
      <xdr:colOff>19050</xdr:colOff>
      <xdr:row>106</xdr:row>
      <xdr:rowOff>180974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742950</xdr:colOff>
      <xdr:row>0</xdr:row>
      <xdr:rowOff>33337</xdr:rowOff>
    </xdr:from>
    <xdr:to>
      <xdr:col>21</xdr:col>
      <xdr:colOff>742950</xdr:colOff>
      <xdr:row>14</xdr:row>
      <xdr:rowOff>100012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381000</xdr:colOff>
      <xdr:row>5</xdr:row>
      <xdr:rowOff>14287</xdr:rowOff>
    </xdr:from>
    <xdr:to>
      <xdr:col>28</xdr:col>
      <xdr:colOff>381000</xdr:colOff>
      <xdr:row>19</xdr:row>
      <xdr:rowOff>80962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752475</xdr:colOff>
      <xdr:row>17</xdr:row>
      <xdr:rowOff>14287</xdr:rowOff>
    </xdr:from>
    <xdr:to>
      <xdr:col>21</xdr:col>
      <xdr:colOff>752475</xdr:colOff>
      <xdr:row>31</xdr:row>
      <xdr:rowOff>61912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466725</xdr:colOff>
      <xdr:row>21</xdr:row>
      <xdr:rowOff>185737</xdr:rowOff>
    </xdr:from>
    <xdr:to>
      <xdr:col>28</xdr:col>
      <xdr:colOff>466725</xdr:colOff>
      <xdr:row>36</xdr:row>
      <xdr:rowOff>42862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19050</xdr:colOff>
      <xdr:row>33</xdr:row>
      <xdr:rowOff>176212</xdr:rowOff>
    </xdr:from>
    <xdr:to>
      <xdr:col>22</xdr:col>
      <xdr:colOff>19050</xdr:colOff>
      <xdr:row>48</xdr:row>
      <xdr:rowOff>42862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514350</xdr:colOff>
      <xdr:row>38</xdr:row>
      <xdr:rowOff>185737</xdr:rowOff>
    </xdr:from>
    <xdr:to>
      <xdr:col>28</xdr:col>
      <xdr:colOff>514350</xdr:colOff>
      <xdr:row>53</xdr:row>
      <xdr:rowOff>33337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50</xdr:row>
      <xdr:rowOff>14287</xdr:rowOff>
    </xdr:from>
    <xdr:to>
      <xdr:col>22</xdr:col>
      <xdr:colOff>0</xdr:colOff>
      <xdr:row>64</xdr:row>
      <xdr:rowOff>42862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552450</xdr:colOff>
      <xdr:row>57</xdr:row>
      <xdr:rowOff>14287</xdr:rowOff>
    </xdr:from>
    <xdr:to>
      <xdr:col>28</xdr:col>
      <xdr:colOff>552450</xdr:colOff>
      <xdr:row>71</xdr:row>
      <xdr:rowOff>80962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552449</xdr:colOff>
      <xdr:row>169</xdr:row>
      <xdr:rowOff>14287</xdr:rowOff>
    </xdr:from>
    <xdr:to>
      <xdr:col>16</xdr:col>
      <xdr:colOff>9524</xdr:colOff>
      <xdr:row>187</xdr:row>
      <xdr:rowOff>9525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pras@vectro.com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A185" workbookViewId="0">
      <selection activeCell="Y45" sqref="Y45"/>
    </sheetView>
  </sheetViews>
  <sheetFormatPr baseColWidth="10" defaultRowHeight="15"/>
  <cols>
    <col min="1" max="1" width="7.5" customWidth="1"/>
    <col min="2" max="2" width="13.5" style="10" customWidth="1"/>
    <col min="3" max="3" width="11.5" style="6"/>
    <col min="4" max="4" width="34.33203125" customWidth="1"/>
    <col min="5" max="5" width="14.5" customWidth="1"/>
    <col min="6" max="6" width="62.6640625" bestFit="1" customWidth="1"/>
    <col min="7" max="7" width="7" customWidth="1"/>
    <col min="8" max="8" width="6.83203125" customWidth="1"/>
    <col min="9" max="10" width="11.5" style="8"/>
    <col min="11" max="11" width="55.83203125" customWidth="1"/>
    <col min="12" max="12" width="46" customWidth="1"/>
    <col min="13" max="13" width="6.6640625" customWidth="1"/>
    <col min="14" max="14" width="7.6640625" customWidth="1"/>
    <col min="15" max="15" width="6.1640625" customWidth="1"/>
    <col min="16" max="16" width="9.33203125" customWidth="1"/>
  </cols>
  <sheetData>
    <row r="1" spans="1:23" ht="29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17</v>
      </c>
      <c r="H1" s="4" t="s">
        <v>6</v>
      </c>
      <c r="I1" s="7" t="s">
        <v>7</v>
      </c>
      <c r="J1" s="9" t="s">
        <v>8</v>
      </c>
      <c r="K1" s="5" t="s">
        <v>9</v>
      </c>
      <c r="L1" s="1" t="s">
        <v>10</v>
      </c>
      <c r="M1" s="4" t="s">
        <v>11</v>
      </c>
      <c r="N1" s="4" t="s">
        <v>12</v>
      </c>
      <c r="O1" s="4" t="s">
        <v>13</v>
      </c>
      <c r="P1" s="4" t="s">
        <v>2432</v>
      </c>
      <c r="Q1" s="4" t="s">
        <v>2434</v>
      </c>
      <c r="R1" s="4" t="s">
        <v>2436</v>
      </c>
      <c r="S1" s="4" t="s">
        <v>2437</v>
      </c>
      <c r="T1" s="4" t="s">
        <v>2440</v>
      </c>
      <c r="U1" s="4" t="s">
        <v>2441</v>
      </c>
      <c r="V1" s="4" t="s">
        <v>2442</v>
      </c>
      <c r="W1" s="4" t="s">
        <v>2443</v>
      </c>
    </row>
    <row r="2" spans="1:23">
      <c r="A2">
        <v>1</v>
      </c>
      <c r="B2" s="100" t="s">
        <v>21</v>
      </c>
      <c r="C2" s="6">
        <v>44202</v>
      </c>
      <c r="D2" t="s">
        <v>14</v>
      </c>
      <c r="E2" t="s">
        <v>15</v>
      </c>
      <c r="F2" t="s">
        <v>16</v>
      </c>
      <c r="G2" t="s">
        <v>18</v>
      </c>
      <c r="H2">
        <v>1</v>
      </c>
      <c r="I2" s="8">
        <v>1870</v>
      </c>
      <c r="J2" s="8">
        <f>+I2/H2</f>
        <v>1870</v>
      </c>
      <c r="K2" t="s">
        <v>19</v>
      </c>
      <c r="L2" t="s">
        <v>20</v>
      </c>
      <c r="M2" t="s">
        <v>2438</v>
      </c>
      <c r="N2" t="s">
        <v>261</v>
      </c>
      <c r="O2" t="s">
        <v>261</v>
      </c>
      <c r="P2" t="s">
        <v>2427</v>
      </c>
      <c r="Q2" t="s">
        <v>2427</v>
      </c>
      <c r="R2" t="s">
        <v>2427</v>
      </c>
      <c r="S2" t="s">
        <v>261</v>
      </c>
      <c r="T2" t="s">
        <v>261</v>
      </c>
      <c r="U2" t="s">
        <v>261</v>
      </c>
      <c r="V2" t="s">
        <v>261</v>
      </c>
      <c r="W2" t="s">
        <v>261</v>
      </c>
    </row>
    <row r="3" spans="1:23">
      <c r="A3">
        <f>+A2+1</f>
        <v>2</v>
      </c>
      <c r="B3" s="100" t="s">
        <v>22</v>
      </c>
      <c r="C3" s="6">
        <v>44204</v>
      </c>
      <c r="D3" t="s">
        <v>23</v>
      </c>
      <c r="E3" t="s">
        <v>24</v>
      </c>
      <c r="F3" t="s">
        <v>25</v>
      </c>
      <c r="G3" t="s">
        <v>18</v>
      </c>
      <c r="H3">
        <v>1</v>
      </c>
      <c r="I3" s="8">
        <v>1440</v>
      </c>
      <c r="J3" s="8">
        <f t="shared" ref="J3:J65" si="0">+I3/H3</f>
        <v>1440</v>
      </c>
      <c r="K3" t="s">
        <v>19</v>
      </c>
      <c r="L3" t="s">
        <v>109</v>
      </c>
      <c r="M3" t="s">
        <v>261</v>
      </c>
      <c r="N3" t="s">
        <v>261</v>
      </c>
      <c r="O3" t="s">
        <v>261</v>
      </c>
      <c r="P3" t="s">
        <v>2427</v>
      </c>
      <c r="Q3" t="s">
        <v>2427</v>
      </c>
      <c r="R3" t="s">
        <v>2427</v>
      </c>
      <c r="S3" t="s">
        <v>261</v>
      </c>
      <c r="T3" t="s">
        <v>261</v>
      </c>
      <c r="U3" t="s">
        <v>261</v>
      </c>
      <c r="V3" t="s">
        <v>261</v>
      </c>
      <c r="W3" t="s">
        <v>261</v>
      </c>
    </row>
    <row r="4" spans="1:23">
      <c r="A4" s="12">
        <f t="shared" ref="A4:A67" si="1">+A3+1</f>
        <v>3</v>
      </c>
      <c r="B4" s="10" t="s">
        <v>1626</v>
      </c>
      <c r="C4" s="6">
        <v>44204</v>
      </c>
      <c r="D4" t="s">
        <v>26</v>
      </c>
      <c r="E4" t="s">
        <v>43</v>
      </c>
      <c r="F4" t="s">
        <v>27</v>
      </c>
      <c r="G4" t="s">
        <v>18</v>
      </c>
      <c r="H4">
        <v>4</v>
      </c>
      <c r="I4" s="8">
        <v>10241.719999999999</v>
      </c>
      <c r="J4" s="8">
        <f t="shared" si="0"/>
        <v>2560.4299999999998</v>
      </c>
      <c r="K4" t="s">
        <v>275</v>
      </c>
      <c r="L4" t="s">
        <v>37</v>
      </c>
      <c r="M4" t="s">
        <v>261</v>
      </c>
      <c r="N4" t="s">
        <v>261</v>
      </c>
      <c r="O4" t="s">
        <v>261</v>
      </c>
      <c r="P4" t="s">
        <v>2427</v>
      </c>
      <c r="Q4" t="s">
        <v>2427</v>
      </c>
      <c r="R4" t="s">
        <v>2427</v>
      </c>
      <c r="S4" t="s">
        <v>261</v>
      </c>
      <c r="T4" t="s">
        <v>261</v>
      </c>
      <c r="U4" t="s">
        <v>261</v>
      </c>
      <c r="V4" t="s">
        <v>261</v>
      </c>
      <c r="W4" t="s">
        <v>261</v>
      </c>
    </row>
    <row r="5" spans="1:23">
      <c r="A5" s="12">
        <f t="shared" si="1"/>
        <v>4</v>
      </c>
      <c r="B5" s="10" t="s">
        <v>1089</v>
      </c>
      <c r="C5" s="6">
        <v>44205</v>
      </c>
      <c r="D5" t="s">
        <v>28</v>
      </c>
      <c r="E5" t="s">
        <v>29</v>
      </c>
      <c r="F5" t="s">
        <v>30</v>
      </c>
      <c r="G5" t="s">
        <v>18</v>
      </c>
      <c r="H5">
        <v>2</v>
      </c>
      <c r="I5" s="8">
        <v>4306.09</v>
      </c>
      <c r="J5" s="8">
        <f t="shared" si="0"/>
        <v>2153.0450000000001</v>
      </c>
      <c r="K5" t="s">
        <v>31</v>
      </c>
      <c r="L5" t="s">
        <v>1090</v>
      </c>
      <c r="M5" t="s">
        <v>261</v>
      </c>
      <c r="N5" t="s">
        <v>261</v>
      </c>
      <c r="O5" t="s">
        <v>261</v>
      </c>
      <c r="P5" t="s">
        <v>2427</v>
      </c>
      <c r="Q5" t="s">
        <v>2427</v>
      </c>
      <c r="R5" t="s">
        <v>2427</v>
      </c>
      <c r="S5" t="s">
        <v>261</v>
      </c>
      <c r="T5" t="s">
        <v>261</v>
      </c>
      <c r="U5" t="s">
        <v>261</v>
      </c>
      <c r="V5" t="s">
        <v>261</v>
      </c>
      <c r="W5" t="s">
        <v>261</v>
      </c>
    </row>
    <row r="6" spans="1:23">
      <c r="A6">
        <f t="shared" si="1"/>
        <v>5</v>
      </c>
      <c r="B6" s="105" t="s">
        <v>47</v>
      </c>
      <c r="C6" s="6">
        <v>44207</v>
      </c>
      <c r="D6" t="s">
        <v>32</v>
      </c>
      <c r="E6" t="s">
        <v>33</v>
      </c>
      <c r="F6" t="s">
        <v>34</v>
      </c>
      <c r="G6" t="s">
        <v>18</v>
      </c>
      <c r="H6">
        <v>1</v>
      </c>
      <c r="I6" s="8">
        <v>908.3</v>
      </c>
      <c r="J6" s="8">
        <f t="shared" si="0"/>
        <v>908.3</v>
      </c>
      <c r="K6" t="s">
        <v>35</v>
      </c>
      <c r="L6" t="s">
        <v>36</v>
      </c>
      <c r="M6" t="s">
        <v>261</v>
      </c>
      <c r="N6" t="s">
        <v>261</v>
      </c>
      <c r="O6" t="s">
        <v>261</v>
      </c>
      <c r="P6" t="s">
        <v>2427</v>
      </c>
      <c r="Q6" t="s">
        <v>2427</v>
      </c>
      <c r="R6" t="s">
        <v>2427</v>
      </c>
      <c r="S6" t="s">
        <v>261</v>
      </c>
      <c r="T6" t="s">
        <v>261</v>
      </c>
      <c r="U6" t="s">
        <v>261</v>
      </c>
      <c r="V6" t="s">
        <v>261</v>
      </c>
      <c r="W6" t="s">
        <v>261</v>
      </c>
    </row>
    <row r="7" spans="1:23">
      <c r="A7" s="12">
        <f t="shared" si="1"/>
        <v>6</v>
      </c>
      <c r="B7" s="104" t="s">
        <v>688</v>
      </c>
      <c r="C7" s="6">
        <v>44212</v>
      </c>
      <c r="D7" t="s">
        <v>39</v>
      </c>
      <c r="E7" t="s">
        <v>42</v>
      </c>
      <c r="F7" s="22" t="s">
        <v>689</v>
      </c>
      <c r="G7" t="s">
        <v>18</v>
      </c>
      <c r="H7">
        <v>3</v>
      </c>
      <c r="I7" s="8">
        <v>4521.7</v>
      </c>
      <c r="J7" s="8">
        <f t="shared" si="0"/>
        <v>1507.2333333333333</v>
      </c>
      <c r="K7" s="22" t="s">
        <v>690</v>
      </c>
      <c r="L7" t="s">
        <v>40</v>
      </c>
      <c r="M7" t="s">
        <v>261</v>
      </c>
      <c r="N7" t="s">
        <v>261</v>
      </c>
      <c r="O7" t="s">
        <v>261</v>
      </c>
      <c r="P7" t="s">
        <v>2427</v>
      </c>
      <c r="Q7" t="s">
        <v>2427</v>
      </c>
      <c r="R7" t="s">
        <v>2427</v>
      </c>
      <c r="S7" t="s">
        <v>261</v>
      </c>
      <c r="T7" t="s">
        <v>261</v>
      </c>
      <c r="U7" t="s">
        <v>261</v>
      </c>
      <c r="V7" t="s">
        <v>261</v>
      </c>
      <c r="W7" t="s">
        <v>261</v>
      </c>
    </row>
    <row r="8" spans="1:23">
      <c r="A8">
        <f t="shared" si="1"/>
        <v>7</v>
      </c>
      <c r="B8" s="10" t="s">
        <v>48</v>
      </c>
      <c r="C8" s="6">
        <v>44212</v>
      </c>
      <c r="D8" t="s">
        <v>41</v>
      </c>
      <c r="E8" t="s">
        <v>44</v>
      </c>
      <c r="F8" t="s">
        <v>45</v>
      </c>
      <c r="G8" t="s">
        <v>18</v>
      </c>
      <c r="H8">
        <v>1</v>
      </c>
      <c r="I8" s="8">
        <v>1403</v>
      </c>
      <c r="J8" s="8">
        <f t="shared" si="0"/>
        <v>1403</v>
      </c>
      <c r="K8" t="s">
        <v>46</v>
      </c>
      <c r="L8" t="s">
        <v>20</v>
      </c>
      <c r="M8" t="s">
        <v>261</v>
      </c>
      <c r="N8" t="s">
        <v>261</v>
      </c>
      <c r="O8" t="s">
        <v>261</v>
      </c>
      <c r="P8" t="s">
        <v>2427</v>
      </c>
      <c r="Q8" t="s">
        <v>2427</v>
      </c>
      <c r="R8" t="s">
        <v>2427</v>
      </c>
      <c r="S8" t="s">
        <v>261</v>
      </c>
      <c r="T8" t="s">
        <v>261</v>
      </c>
      <c r="U8" t="s">
        <v>261</v>
      </c>
      <c r="V8" t="s">
        <v>261</v>
      </c>
      <c r="W8" t="s">
        <v>261</v>
      </c>
    </row>
    <row r="9" spans="1:23">
      <c r="A9" s="12">
        <f t="shared" si="1"/>
        <v>8</v>
      </c>
      <c r="B9" s="103" t="s">
        <v>176</v>
      </c>
      <c r="C9" s="6">
        <v>44214</v>
      </c>
      <c r="D9" t="s">
        <v>49</v>
      </c>
      <c r="E9" t="s">
        <v>50</v>
      </c>
      <c r="F9" s="11" t="s">
        <v>51</v>
      </c>
      <c r="G9" t="s">
        <v>18</v>
      </c>
      <c r="H9">
        <v>2</v>
      </c>
      <c r="I9" s="8">
        <v>1500</v>
      </c>
      <c r="J9" s="8">
        <f t="shared" si="0"/>
        <v>750</v>
      </c>
      <c r="K9" t="s">
        <v>52</v>
      </c>
      <c r="L9" t="s">
        <v>177</v>
      </c>
      <c r="M9" t="s">
        <v>261</v>
      </c>
      <c r="N9" t="s">
        <v>261</v>
      </c>
      <c r="O9" t="s">
        <v>261</v>
      </c>
      <c r="P9" t="s">
        <v>2427</v>
      </c>
      <c r="Q9" t="s">
        <v>2427</v>
      </c>
      <c r="R9" t="s">
        <v>2427</v>
      </c>
      <c r="S9" t="s">
        <v>261</v>
      </c>
      <c r="T9" t="s">
        <v>261</v>
      </c>
      <c r="U9" t="s">
        <v>261</v>
      </c>
      <c r="V9" t="s">
        <v>261</v>
      </c>
      <c r="W9" t="s">
        <v>261</v>
      </c>
    </row>
    <row r="10" spans="1:23">
      <c r="A10">
        <f t="shared" si="1"/>
        <v>9</v>
      </c>
      <c r="B10" s="103" t="s">
        <v>57</v>
      </c>
      <c r="C10" s="6">
        <v>44219</v>
      </c>
      <c r="D10" t="s">
        <v>53</v>
      </c>
      <c r="E10" t="s">
        <v>54</v>
      </c>
      <c r="F10" t="s">
        <v>55</v>
      </c>
      <c r="G10" t="s">
        <v>18</v>
      </c>
      <c r="H10">
        <v>1</v>
      </c>
      <c r="I10" s="8">
        <v>2290</v>
      </c>
      <c r="J10" s="8">
        <f t="shared" si="0"/>
        <v>2290</v>
      </c>
      <c r="K10" t="s">
        <v>56</v>
      </c>
      <c r="L10" t="s">
        <v>20</v>
      </c>
      <c r="M10" t="s">
        <v>261</v>
      </c>
      <c r="N10" t="s">
        <v>261</v>
      </c>
      <c r="O10" t="s">
        <v>261</v>
      </c>
      <c r="P10" t="s">
        <v>2427</v>
      </c>
      <c r="Q10" t="s">
        <v>2427</v>
      </c>
      <c r="R10" t="s">
        <v>2427</v>
      </c>
      <c r="S10" t="s">
        <v>261</v>
      </c>
      <c r="T10" t="s">
        <v>261</v>
      </c>
      <c r="U10" t="s">
        <v>261</v>
      </c>
      <c r="V10" t="s">
        <v>261</v>
      </c>
      <c r="W10" t="s">
        <v>261</v>
      </c>
    </row>
    <row r="11" spans="1:23">
      <c r="A11" s="21">
        <f t="shared" si="1"/>
        <v>10</v>
      </c>
      <c r="B11" s="10" t="s">
        <v>58</v>
      </c>
      <c r="C11" s="6">
        <v>44226</v>
      </c>
      <c r="D11" t="s">
        <v>60</v>
      </c>
      <c r="E11" t="s">
        <v>61</v>
      </c>
      <c r="F11" t="s">
        <v>62</v>
      </c>
      <c r="G11" t="s">
        <v>63</v>
      </c>
      <c r="H11">
        <v>1</v>
      </c>
      <c r="I11" s="8">
        <v>1260</v>
      </c>
      <c r="J11" s="8">
        <f t="shared" si="0"/>
        <v>1260</v>
      </c>
      <c r="K11" t="s">
        <v>64</v>
      </c>
      <c r="L11" t="s">
        <v>36</v>
      </c>
      <c r="M11" t="s">
        <v>261</v>
      </c>
      <c r="N11" t="s">
        <v>261</v>
      </c>
      <c r="O11" t="s">
        <v>261</v>
      </c>
      <c r="P11" t="s">
        <v>2427</v>
      </c>
      <c r="Q11" t="s">
        <v>2427</v>
      </c>
      <c r="R11" t="s">
        <v>2427</v>
      </c>
      <c r="S11" t="s">
        <v>261</v>
      </c>
      <c r="T11" t="s">
        <v>261</v>
      </c>
      <c r="U11" t="s">
        <v>261</v>
      </c>
      <c r="V11" t="s">
        <v>261</v>
      </c>
      <c r="W11" t="s">
        <v>261</v>
      </c>
    </row>
    <row r="12" spans="1:23">
      <c r="A12">
        <f t="shared" si="1"/>
        <v>11</v>
      </c>
      <c r="B12" s="103" t="s">
        <v>59</v>
      </c>
      <c r="C12" s="6">
        <v>44228</v>
      </c>
      <c r="D12" t="s">
        <v>65</v>
      </c>
      <c r="E12" t="s">
        <v>66</v>
      </c>
      <c r="F12" s="11" t="s">
        <v>67</v>
      </c>
      <c r="G12" t="s">
        <v>18</v>
      </c>
      <c r="H12">
        <v>1</v>
      </c>
      <c r="I12" s="8">
        <v>739.8</v>
      </c>
      <c r="J12" s="8">
        <f t="shared" si="0"/>
        <v>739.8</v>
      </c>
      <c r="K12" t="s">
        <v>68</v>
      </c>
      <c r="L12" t="s">
        <v>20</v>
      </c>
      <c r="M12" t="s">
        <v>261</v>
      </c>
      <c r="N12" t="s">
        <v>261</v>
      </c>
      <c r="O12" t="s">
        <v>261</v>
      </c>
      <c r="P12" t="s">
        <v>261</v>
      </c>
      <c r="Q12" t="s">
        <v>261</v>
      </c>
      <c r="R12" t="s">
        <v>261</v>
      </c>
      <c r="S12" t="s">
        <v>261</v>
      </c>
      <c r="T12" t="s">
        <v>261</v>
      </c>
      <c r="U12" t="s">
        <v>261</v>
      </c>
      <c r="V12" t="s">
        <v>261</v>
      </c>
      <c r="W12" t="s">
        <v>261</v>
      </c>
    </row>
    <row r="13" spans="1:23">
      <c r="A13">
        <f t="shared" si="1"/>
        <v>12</v>
      </c>
      <c r="B13" s="10" t="s">
        <v>69</v>
      </c>
      <c r="C13" s="6">
        <v>44229</v>
      </c>
      <c r="D13" t="s">
        <v>70</v>
      </c>
      <c r="E13" t="s">
        <v>71</v>
      </c>
      <c r="F13" t="s">
        <v>72</v>
      </c>
      <c r="G13" t="s">
        <v>18</v>
      </c>
      <c r="H13">
        <v>1</v>
      </c>
      <c r="I13" s="8">
        <v>1959.58</v>
      </c>
      <c r="J13" s="8">
        <f t="shared" si="0"/>
        <v>1959.58</v>
      </c>
      <c r="K13" t="s">
        <v>73</v>
      </c>
      <c r="L13" t="s">
        <v>76</v>
      </c>
      <c r="M13" t="s">
        <v>261</v>
      </c>
      <c r="N13" t="s">
        <v>261</v>
      </c>
      <c r="O13" t="s">
        <v>261</v>
      </c>
      <c r="P13" t="s">
        <v>261</v>
      </c>
      <c r="Q13" t="s">
        <v>261</v>
      </c>
      <c r="R13" t="s">
        <v>261</v>
      </c>
      <c r="S13" t="s">
        <v>261</v>
      </c>
      <c r="T13" t="s">
        <v>261</v>
      </c>
      <c r="U13" t="s">
        <v>261</v>
      </c>
      <c r="V13" t="s">
        <v>261</v>
      </c>
      <c r="W13" t="s">
        <v>261</v>
      </c>
    </row>
    <row r="14" spans="1:23">
      <c r="A14" s="12">
        <f t="shared" si="1"/>
        <v>13</v>
      </c>
      <c r="B14" s="10" t="s">
        <v>395</v>
      </c>
      <c r="C14" s="6">
        <v>44230</v>
      </c>
      <c r="D14" t="s">
        <v>74</v>
      </c>
      <c r="E14" t="s">
        <v>75</v>
      </c>
      <c r="F14" s="11" t="s">
        <v>393</v>
      </c>
      <c r="G14" t="s">
        <v>18</v>
      </c>
      <c r="H14">
        <v>2</v>
      </c>
      <c r="I14" s="8">
        <v>3559.5</v>
      </c>
      <c r="J14" s="8">
        <f t="shared" si="0"/>
        <v>1779.75</v>
      </c>
      <c r="K14" t="s">
        <v>394</v>
      </c>
      <c r="L14" t="s">
        <v>20</v>
      </c>
      <c r="M14" t="s">
        <v>261</v>
      </c>
      <c r="N14" t="s">
        <v>261</v>
      </c>
      <c r="O14" t="s">
        <v>261</v>
      </c>
      <c r="P14" t="s">
        <v>261</v>
      </c>
      <c r="Q14" t="s">
        <v>261</v>
      </c>
      <c r="R14" t="s">
        <v>261</v>
      </c>
      <c r="S14" t="s">
        <v>261</v>
      </c>
      <c r="T14" t="s">
        <v>261</v>
      </c>
      <c r="U14" t="s">
        <v>261</v>
      </c>
      <c r="V14" t="s">
        <v>261</v>
      </c>
      <c r="W14" t="s">
        <v>261</v>
      </c>
    </row>
    <row r="15" spans="1:23">
      <c r="A15">
        <f t="shared" si="1"/>
        <v>14</v>
      </c>
      <c r="B15" s="10" t="s">
        <v>77</v>
      </c>
      <c r="C15" s="6">
        <v>44231</v>
      </c>
      <c r="D15" t="s">
        <v>86</v>
      </c>
      <c r="E15" t="s">
        <v>87</v>
      </c>
      <c r="F15" t="s">
        <v>88</v>
      </c>
      <c r="G15" t="s">
        <v>63</v>
      </c>
      <c r="H15">
        <v>1</v>
      </c>
      <c r="I15" s="8">
        <v>1098</v>
      </c>
      <c r="J15" s="8">
        <f t="shared" si="0"/>
        <v>1098</v>
      </c>
      <c r="K15" t="s">
        <v>89</v>
      </c>
      <c r="L15" t="s">
        <v>94</v>
      </c>
      <c r="M15" t="s">
        <v>261</v>
      </c>
      <c r="N15" t="s">
        <v>261</v>
      </c>
      <c r="O15" t="s">
        <v>261</v>
      </c>
      <c r="P15" t="s">
        <v>261</v>
      </c>
      <c r="Q15" t="s">
        <v>261</v>
      </c>
      <c r="R15" t="s">
        <v>261</v>
      </c>
      <c r="S15" t="s">
        <v>261</v>
      </c>
      <c r="T15" t="s">
        <v>261</v>
      </c>
      <c r="U15" t="s">
        <v>261</v>
      </c>
      <c r="V15" t="s">
        <v>261</v>
      </c>
      <c r="W15" t="s">
        <v>261</v>
      </c>
    </row>
    <row r="16" spans="1:23">
      <c r="A16">
        <f t="shared" si="1"/>
        <v>15</v>
      </c>
      <c r="B16" s="10" t="s">
        <v>78</v>
      </c>
      <c r="C16" s="6">
        <v>44232</v>
      </c>
      <c r="D16" t="s">
        <v>81</v>
      </c>
      <c r="E16" t="s">
        <v>82</v>
      </c>
      <c r="F16" t="s">
        <v>83</v>
      </c>
      <c r="G16" t="s">
        <v>18</v>
      </c>
      <c r="H16">
        <v>1</v>
      </c>
      <c r="I16" s="8">
        <v>1080</v>
      </c>
      <c r="J16" s="8">
        <f t="shared" si="0"/>
        <v>1080</v>
      </c>
      <c r="K16" t="s">
        <v>84</v>
      </c>
      <c r="L16" t="s">
        <v>85</v>
      </c>
      <c r="M16" t="s">
        <v>261</v>
      </c>
      <c r="N16" t="s">
        <v>261</v>
      </c>
      <c r="O16" t="s">
        <v>261</v>
      </c>
      <c r="P16" t="s">
        <v>261</v>
      </c>
      <c r="Q16" t="s">
        <v>261</v>
      </c>
      <c r="R16" t="s">
        <v>261</v>
      </c>
      <c r="S16" t="s">
        <v>261</v>
      </c>
      <c r="T16" t="s">
        <v>261</v>
      </c>
      <c r="U16" t="s">
        <v>261</v>
      </c>
      <c r="V16" t="s">
        <v>261</v>
      </c>
      <c r="W16" t="s">
        <v>261</v>
      </c>
    </row>
    <row r="17" spans="1:23">
      <c r="A17" s="12">
        <f t="shared" si="1"/>
        <v>16</v>
      </c>
      <c r="B17" s="101" t="s">
        <v>1325</v>
      </c>
      <c r="C17" s="6">
        <v>44236</v>
      </c>
      <c r="D17" t="s">
        <v>90</v>
      </c>
      <c r="E17" t="s">
        <v>91</v>
      </c>
      <c r="F17" t="s">
        <v>92</v>
      </c>
      <c r="G17" t="s">
        <v>18</v>
      </c>
      <c r="H17">
        <v>2</v>
      </c>
      <c r="I17" s="8">
        <v>1795.05</v>
      </c>
      <c r="J17" s="8">
        <f t="shared" si="0"/>
        <v>897.52499999999998</v>
      </c>
      <c r="K17" t="s">
        <v>93</v>
      </c>
      <c r="L17" t="s">
        <v>108</v>
      </c>
      <c r="M17" t="s">
        <v>261</v>
      </c>
      <c r="N17" t="s">
        <v>261</v>
      </c>
      <c r="O17" t="s">
        <v>261</v>
      </c>
      <c r="P17" t="s">
        <v>261</v>
      </c>
      <c r="Q17" t="s">
        <v>261</v>
      </c>
      <c r="R17" t="s">
        <v>261</v>
      </c>
      <c r="S17" t="s">
        <v>261</v>
      </c>
      <c r="T17" t="s">
        <v>261</v>
      </c>
      <c r="U17" t="s">
        <v>261</v>
      </c>
      <c r="V17" t="s">
        <v>261</v>
      </c>
      <c r="W17" t="s">
        <v>261</v>
      </c>
    </row>
    <row r="18" spans="1:23">
      <c r="A18">
        <f t="shared" si="1"/>
        <v>17</v>
      </c>
      <c r="B18" s="10" t="s">
        <v>79</v>
      </c>
      <c r="C18" s="6">
        <v>44237</v>
      </c>
      <c r="D18" t="s">
        <v>104</v>
      </c>
      <c r="E18" t="s">
        <v>105</v>
      </c>
      <c r="F18" t="s">
        <v>106</v>
      </c>
      <c r="G18" t="s">
        <v>18</v>
      </c>
      <c r="H18">
        <v>1</v>
      </c>
      <c r="I18" s="8">
        <v>1561</v>
      </c>
      <c r="J18" s="8">
        <f t="shared" si="0"/>
        <v>1561</v>
      </c>
      <c r="K18" t="s">
        <v>107</v>
      </c>
      <c r="L18" t="s">
        <v>124</v>
      </c>
      <c r="M18" t="s">
        <v>261</v>
      </c>
      <c r="N18" t="s">
        <v>261</v>
      </c>
      <c r="O18" t="s">
        <v>261</v>
      </c>
      <c r="P18" t="s">
        <v>261</v>
      </c>
      <c r="Q18" t="s">
        <v>261</v>
      </c>
      <c r="R18" t="s">
        <v>261</v>
      </c>
      <c r="S18" t="s">
        <v>261</v>
      </c>
      <c r="T18" t="s">
        <v>261</v>
      </c>
      <c r="U18" t="s">
        <v>261</v>
      </c>
      <c r="V18" t="s">
        <v>261</v>
      </c>
      <c r="W18" t="s">
        <v>261</v>
      </c>
    </row>
    <row r="19" spans="1:23">
      <c r="A19">
        <f t="shared" si="1"/>
        <v>18</v>
      </c>
      <c r="B19" s="10" t="s">
        <v>80</v>
      </c>
      <c r="C19" s="6">
        <v>44237</v>
      </c>
      <c r="D19" t="s">
        <v>95</v>
      </c>
      <c r="E19" t="s">
        <v>96</v>
      </c>
      <c r="F19" t="s">
        <v>97</v>
      </c>
      <c r="G19" t="s">
        <v>18</v>
      </c>
      <c r="H19">
        <v>1</v>
      </c>
      <c r="I19" s="8">
        <v>600</v>
      </c>
      <c r="J19" s="8">
        <f t="shared" si="0"/>
        <v>600</v>
      </c>
      <c r="K19" t="s">
        <v>98</v>
      </c>
      <c r="L19" t="s">
        <v>112</v>
      </c>
      <c r="M19" t="s">
        <v>261</v>
      </c>
      <c r="N19" t="s">
        <v>261</v>
      </c>
      <c r="O19" t="s">
        <v>261</v>
      </c>
      <c r="P19" t="s">
        <v>261</v>
      </c>
      <c r="Q19" t="s">
        <v>261</v>
      </c>
      <c r="R19" t="s">
        <v>261</v>
      </c>
      <c r="S19" t="s">
        <v>261</v>
      </c>
      <c r="T19" t="s">
        <v>261</v>
      </c>
      <c r="U19" t="s">
        <v>261</v>
      </c>
      <c r="V19" t="s">
        <v>261</v>
      </c>
      <c r="W19" t="s">
        <v>261</v>
      </c>
    </row>
    <row r="20" spans="1:23">
      <c r="A20" s="12">
        <f t="shared" si="1"/>
        <v>19</v>
      </c>
      <c r="B20" s="10" t="s">
        <v>933</v>
      </c>
      <c r="C20" s="6">
        <v>44239</v>
      </c>
      <c r="D20" t="s">
        <v>125</v>
      </c>
      <c r="E20" t="s">
        <v>126</v>
      </c>
      <c r="F20" t="s">
        <v>127</v>
      </c>
      <c r="G20" t="s">
        <v>18</v>
      </c>
      <c r="H20">
        <v>2</v>
      </c>
      <c r="I20" s="8">
        <v>5855.04</v>
      </c>
      <c r="J20" s="8">
        <f t="shared" si="0"/>
        <v>2927.52</v>
      </c>
      <c r="K20" t="s">
        <v>934</v>
      </c>
      <c r="L20" t="s">
        <v>935</v>
      </c>
      <c r="M20" t="s">
        <v>261</v>
      </c>
      <c r="N20" t="s">
        <v>261</v>
      </c>
      <c r="O20" t="s">
        <v>261</v>
      </c>
      <c r="P20" t="s">
        <v>261</v>
      </c>
      <c r="Q20" t="s">
        <v>261</v>
      </c>
      <c r="R20" t="s">
        <v>261</v>
      </c>
      <c r="S20" t="s">
        <v>261</v>
      </c>
      <c r="T20" t="s">
        <v>261</v>
      </c>
      <c r="U20" t="s">
        <v>261</v>
      </c>
      <c r="V20" t="s">
        <v>261</v>
      </c>
      <c r="W20" t="s">
        <v>261</v>
      </c>
    </row>
    <row r="21" spans="1:23">
      <c r="A21" s="15">
        <f t="shared" si="1"/>
        <v>20</v>
      </c>
      <c r="B21" s="10" t="s">
        <v>99</v>
      </c>
      <c r="C21" s="6">
        <v>44240</v>
      </c>
      <c r="D21" t="s">
        <v>100</v>
      </c>
      <c r="E21" t="s">
        <v>101</v>
      </c>
      <c r="F21" t="s">
        <v>102</v>
      </c>
      <c r="G21" t="s">
        <v>18</v>
      </c>
      <c r="H21">
        <v>1</v>
      </c>
      <c r="I21" s="8">
        <v>11807.64</v>
      </c>
      <c r="J21" s="8">
        <f t="shared" si="0"/>
        <v>11807.64</v>
      </c>
      <c r="K21" t="s">
        <v>103</v>
      </c>
      <c r="L21" t="s">
        <v>111</v>
      </c>
      <c r="M21" t="s">
        <v>261</v>
      </c>
      <c r="N21" t="s">
        <v>261</v>
      </c>
      <c r="O21" t="s">
        <v>261</v>
      </c>
      <c r="P21" t="s">
        <v>261</v>
      </c>
      <c r="Q21" t="s">
        <v>261</v>
      </c>
      <c r="R21" t="s">
        <v>261</v>
      </c>
      <c r="S21" t="s">
        <v>261</v>
      </c>
      <c r="T21" t="s">
        <v>261</v>
      </c>
      <c r="U21" t="s">
        <v>261</v>
      </c>
      <c r="V21" t="s">
        <v>261</v>
      </c>
      <c r="W21" t="s">
        <v>261</v>
      </c>
    </row>
    <row r="22" spans="1:23">
      <c r="A22" s="12">
        <f t="shared" si="1"/>
        <v>21</v>
      </c>
      <c r="B22" s="10" t="s">
        <v>139</v>
      </c>
      <c r="C22" s="6">
        <v>44242</v>
      </c>
      <c r="D22" t="s">
        <v>128</v>
      </c>
      <c r="E22" t="s">
        <v>129</v>
      </c>
      <c r="F22" t="s">
        <v>130</v>
      </c>
      <c r="G22" t="s">
        <v>18</v>
      </c>
      <c r="H22">
        <v>2</v>
      </c>
      <c r="I22" s="8">
        <v>3544.12</v>
      </c>
      <c r="J22" s="8">
        <f t="shared" si="0"/>
        <v>1772.06</v>
      </c>
      <c r="K22" t="s">
        <v>137</v>
      </c>
      <c r="L22" t="s">
        <v>138</v>
      </c>
      <c r="M22" t="s">
        <v>261</v>
      </c>
      <c r="N22" t="s">
        <v>261</v>
      </c>
      <c r="O22" t="s">
        <v>261</v>
      </c>
      <c r="P22" t="s">
        <v>261</v>
      </c>
      <c r="Q22" t="s">
        <v>261</v>
      </c>
      <c r="R22" t="s">
        <v>261</v>
      </c>
      <c r="S22" t="s">
        <v>261</v>
      </c>
      <c r="T22" t="s">
        <v>261</v>
      </c>
      <c r="U22" t="s">
        <v>261</v>
      </c>
      <c r="V22" t="s">
        <v>261</v>
      </c>
      <c r="W22" t="s">
        <v>261</v>
      </c>
    </row>
    <row r="23" spans="1:23">
      <c r="A23">
        <f t="shared" si="1"/>
        <v>22</v>
      </c>
      <c r="B23" s="10" t="s">
        <v>113</v>
      </c>
      <c r="C23" s="6">
        <v>44243</v>
      </c>
      <c r="D23" t="s">
        <v>114</v>
      </c>
      <c r="E23" t="s">
        <v>115</v>
      </c>
      <c r="F23" t="s">
        <v>116</v>
      </c>
      <c r="G23" t="s">
        <v>18</v>
      </c>
      <c r="H23">
        <v>1</v>
      </c>
      <c r="I23" s="8">
        <v>792</v>
      </c>
      <c r="J23" s="8">
        <f t="shared" si="0"/>
        <v>792</v>
      </c>
      <c r="K23" t="s">
        <v>117</v>
      </c>
      <c r="L23" t="s">
        <v>118</v>
      </c>
      <c r="M23" t="s">
        <v>261</v>
      </c>
      <c r="N23" t="s">
        <v>261</v>
      </c>
      <c r="O23" t="s">
        <v>261</v>
      </c>
      <c r="P23" t="s">
        <v>261</v>
      </c>
      <c r="Q23" t="s">
        <v>261</v>
      </c>
      <c r="R23" t="s">
        <v>261</v>
      </c>
      <c r="S23" t="s">
        <v>261</v>
      </c>
      <c r="T23" t="s">
        <v>261</v>
      </c>
      <c r="U23" t="s">
        <v>261</v>
      </c>
      <c r="V23" t="s">
        <v>261</v>
      </c>
      <c r="W23" t="s">
        <v>261</v>
      </c>
    </row>
    <row r="24" spans="1:23">
      <c r="A24">
        <f t="shared" si="1"/>
        <v>23</v>
      </c>
      <c r="B24" s="10" t="s">
        <v>119</v>
      </c>
      <c r="C24" s="6">
        <v>44243</v>
      </c>
      <c r="D24" t="s">
        <v>120</v>
      </c>
      <c r="E24" t="s">
        <v>121</v>
      </c>
      <c r="F24" t="s">
        <v>122</v>
      </c>
      <c r="G24" t="s">
        <v>18</v>
      </c>
      <c r="H24">
        <v>1</v>
      </c>
      <c r="I24" s="8">
        <v>1170</v>
      </c>
      <c r="J24" s="8">
        <f t="shared" si="0"/>
        <v>1170</v>
      </c>
      <c r="K24" t="s">
        <v>123</v>
      </c>
      <c r="L24" t="s">
        <v>110</v>
      </c>
      <c r="M24" t="s">
        <v>261</v>
      </c>
      <c r="N24" t="s">
        <v>261</v>
      </c>
      <c r="O24" t="s">
        <v>261</v>
      </c>
      <c r="P24" t="s">
        <v>261</v>
      </c>
      <c r="Q24" t="s">
        <v>261</v>
      </c>
      <c r="R24" t="s">
        <v>261</v>
      </c>
      <c r="S24" t="s">
        <v>261</v>
      </c>
      <c r="T24" t="s">
        <v>261</v>
      </c>
      <c r="U24" t="s">
        <v>261</v>
      </c>
      <c r="V24" t="s">
        <v>261</v>
      </c>
      <c r="W24" t="s">
        <v>261</v>
      </c>
    </row>
    <row r="25" spans="1:23">
      <c r="A25" s="14">
        <f t="shared" si="1"/>
        <v>24</v>
      </c>
      <c r="B25" s="10" t="s">
        <v>131</v>
      </c>
      <c r="C25" s="6">
        <v>44247</v>
      </c>
      <c r="D25" t="s">
        <v>132</v>
      </c>
      <c r="E25" t="s">
        <v>133</v>
      </c>
      <c r="F25" t="s">
        <v>134</v>
      </c>
      <c r="G25" t="s">
        <v>18</v>
      </c>
      <c r="H25">
        <v>1</v>
      </c>
      <c r="I25" s="8">
        <v>822</v>
      </c>
      <c r="J25" s="8">
        <f t="shared" si="0"/>
        <v>822</v>
      </c>
      <c r="K25" t="s">
        <v>135</v>
      </c>
      <c r="L25" t="s">
        <v>136</v>
      </c>
      <c r="M25" t="s">
        <v>261</v>
      </c>
      <c r="N25" t="s">
        <v>261</v>
      </c>
      <c r="O25" t="s">
        <v>261</v>
      </c>
      <c r="P25" t="s">
        <v>261</v>
      </c>
      <c r="Q25" t="s">
        <v>261</v>
      </c>
      <c r="R25" t="s">
        <v>261</v>
      </c>
      <c r="S25" t="s">
        <v>261</v>
      </c>
      <c r="T25" t="s">
        <v>261</v>
      </c>
      <c r="U25" t="s">
        <v>261</v>
      </c>
      <c r="V25" t="s">
        <v>261</v>
      </c>
      <c r="W25" t="s">
        <v>261</v>
      </c>
    </row>
    <row r="26" spans="1:23">
      <c r="A26" s="12">
        <f t="shared" si="1"/>
        <v>25</v>
      </c>
      <c r="B26" s="10" t="s">
        <v>149</v>
      </c>
      <c r="C26" s="6">
        <v>44249</v>
      </c>
      <c r="D26" t="s">
        <v>141</v>
      </c>
      <c r="E26" t="s">
        <v>142</v>
      </c>
      <c r="F26" t="s">
        <v>143</v>
      </c>
      <c r="G26" t="s">
        <v>18</v>
      </c>
      <c r="H26">
        <v>2</v>
      </c>
      <c r="I26" s="8">
        <v>3483.6</v>
      </c>
      <c r="J26" s="8">
        <f t="shared" si="0"/>
        <v>1741.8</v>
      </c>
      <c r="K26" t="s">
        <v>150</v>
      </c>
      <c r="L26" t="s">
        <v>151</v>
      </c>
      <c r="M26" t="s">
        <v>261</v>
      </c>
      <c r="N26" t="s">
        <v>261</v>
      </c>
      <c r="O26" t="s">
        <v>261</v>
      </c>
      <c r="P26" t="s">
        <v>261</v>
      </c>
      <c r="Q26" t="s">
        <v>261</v>
      </c>
      <c r="R26" t="s">
        <v>261</v>
      </c>
      <c r="S26" t="s">
        <v>261</v>
      </c>
      <c r="T26" t="s">
        <v>261</v>
      </c>
      <c r="U26" t="s">
        <v>261</v>
      </c>
      <c r="V26" t="s">
        <v>261</v>
      </c>
      <c r="W26" t="s">
        <v>261</v>
      </c>
    </row>
    <row r="27" spans="1:23">
      <c r="A27">
        <f t="shared" si="1"/>
        <v>26</v>
      </c>
      <c r="B27" s="10" t="s">
        <v>144</v>
      </c>
      <c r="C27" s="6">
        <v>44250</v>
      </c>
      <c r="D27" t="s">
        <v>145</v>
      </c>
      <c r="E27" t="s">
        <v>146</v>
      </c>
      <c r="F27" t="s">
        <v>147</v>
      </c>
      <c r="G27" t="s">
        <v>18</v>
      </c>
      <c r="H27">
        <v>1</v>
      </c>
      <c r="I27" s="8">
        <v>949</v>
      </c>
      <c r="J27" s="8">
        <f t="shared" si="0"/>
        <v>949</v>
      </c>
      <c r="K27" t="s">
        <v>148</v>
      </c>
      <c r="L27" t="s">
        <v>152</v>
      </c>
      <c r="M27" t="s">
        <v>261</v>
      </c>
      <c r="N27" t="s">
        <v>261</v>
      </c>
      <c r="O27" t="s">
        <v>261</v>
      </c>
      <c r="P27" t="s">
        <v>261</v>
      </c>
      <c r="Q27" t="s">
        <v>261</v>
      </c>
      <c r="R27" t="s">
        <v>261</v>
      </c>
      <c r="S27" t="s">
        <v>261</v>
      </c>
      <c r="T27" t="s">
        <v>261</v>
      </c>
      <c r="U27" t="s">
        <v>261</v>
      </c>
      <c r="V27" t="s">
        <v>261</v>
      </c>
      <c r="W27" t="s">
        <v>261</v>
      </c>
    </row>
    <row r="28" spans="1:23">
      <c r="A28">
        <f t="shared" si="1"/>
        <v>27</v>
      </c>
      <c r="B28" s="10" t="s">
        <v>153</v>
      </c>
      <c r="C28" s="6">
        <v>44252</v>
      </c>
      <c r="D28" t="s">
        <v>154</v>
      </c>
      <c r="E28" t="s">
        <v>155</v>
      </c>
      <c r="F28" t="s">
        <v>156</v>
      </c>
      <c r="G28" t="s">
        <v>157</v>
      </c>
      <c r="H28">
        <v>1</v>
      </c>
      <c r="I28" s="8">
        <v>751</v>
      </c>
      <c r="J28" s="8">
        <f t="shared" si="0"/>
        <v>751</v>
      </c>
      <c r="K28" t="s">
        <v>158</v>
      </c>
      <c r="L28" t="s">
        <v>159</v>
      </c>
      <c r="M28" t="s">
        <v>261</v>
      </c>
      <c r="N28" t="s">
        <v>261</v>
      </c>
      <c r="O28" t="s">
        <v>261</v>
      </c>
      <c r="P28" t="s">
        <v>261</v>
      </c>
      <c r="Q28" t="s">
        <v>261</v>
      </c>
      <c r="R28" t="s">
        <v>261</v>
      </c>
      <c r="S28" t="s">
        <v>261</v>
      </c>
      <c r="T28" t="s">
        <v>261</v>
      </c>
      <c r="U28" t="s">
        <v>261</v>
      </c>
      <c r="V28" t="s">
        <v>261</v>
      </c>
      <c r="W28" t="s">
        <v>261</v>
      </c>
    </row>
    <row r="29" spans="1:23">
      <c r="A29">
        <f t="shared" si="1"/>
        <v>28</v>
      </c>
      <c r="B29" s="10" t="s">
        <v>160</v>
      </c>
      <c r="C29" s="6">
        <v>44256</v>
      </c>
      <c r="D29" t="s">
        <v>161</v>
      </c>
      <c r="E29" t="s">
        <v>162</v>
      </c>
      <c r="F29" t="s">
        <v>163</v>
      </c>
      <c r="G29" t="s">
        <v>18</v>
      </c>
      <c r="H29">
        <v>1</v>
      </c>
      <c r="I29" s="8">
        <v>2022.3</v>
      </c>
      <c r="J29" s="8">
        <f t="shared" si="0"/>
        <v>2022.3</v>
      </c>
      <c r="K29" t="s">
        <v>164</v>
      </c>
      <c r="L29" t="s">
        <v>165</v>
      </c>
      <c r="M29" t="s">
        <v>261</v>
      </c>
      <c r="N29" t="s">
        <v>261</v>
      </c>
      <c r="O29" t="s">
        <v>261</v>
      </c>
      <c r="P29" t="s">
        <v>261</v>
      </c>
      <c r="Q29" t="s">
        <v>261</v>
      </c>
      <c r="R29" t="s">
        <v>261</v>
      </c>
      <c r="S29" t="s">
        <v>261</v>
      </c>
      <c r="T29" t="s">
        <v>261</v>
      </c>
      <c r="U29" t="s">
        <v>261</v>
      </c>
      <c r="V29" t="s">
        <v>261</v>
      </c>
      <c r="W29" t="s">
        <v>261</v>
      </c>
    </row>
    <row r="30" spans="1:23">
      <c r="A30">
        <f t="shared" si="1"/>
        <v>29</v>
      </c>
      <c r="B30" s="10" t="s">
        <v>166</v>
      </c>
      <c r="C30" s="6">
        <v>44257</v>
      </c>
      <c r="D30" t="s">
        <v>167</v>
      </c>
      <c r="E30" t="s">
        <v>168</v>
      </c>
      <c r="F30" t="s">
        <v>169</v>
      </c>
      <c r="G30" t="s">
        <v>18</v>
      </c>
      <c r="H30">
        <v>1</v>
      </c>
      <c r="I30" s="8">
        <v>850</v>
      </c>
      <c r="J30" s="8">
        <f t="shared" si="0"/>
        <v>850</v>
      </c>
      <c r="K30" t="s">
        <v>170</v>
      </c>
      <c r="L30" t="s">
        <v>140</v>
      </c>
      <c r="M30" t="s">
        <v>261</v>
      </c>
      <c r="N30" t="s">
        <v>261</v>
      </c>
      <c r="O30" t="s">
        <v>261</v>
      </c>
      <c r="P30" t="s">
        <v>261</v>
      </c>
      <c r="Q30" t="s">
        <v>261</v>
      </c>
      <c r="R30" t="s">
        <v>261</v>
      </c>
      <c r="S30" t="s">
        <v>261</v>
      </c>
      <c r="T30" t="s">
        <v>261</v>
      </c>
      <c r="U30" t="s">
        <v>261</v>
      </c>
      <c r="V30" t="s">
        <v>261</v>
      </c>
      <c r="W30" t="s">
        <v>261</v>
      </c>
    </row>
    <row r="31" spans="1:23">
      <c r="A31">
        <f t="shared" si="1"/>
        <v>30</v>
      </c>
      <c r="B31" s="103" t="s">
        <v>171</v>
      </c>
      <c r="C31" s="6">
        <v>44258</v>
      </c>
      <c r="D31" t="s">
        <v>172</v>
      </c>
      <c r="E31" t="s">
        <v>173</v>
      </c>
      <c r="F31" t="s">
        <v>174</v>
      </c>
      <c r="G31" t="s">
        <v>18</v>
      </c>
      <c r="H31">
        <v>1</v>
      </c>
      <c r="I31" s="8">
        <v>1287</v>
      </c>
      <c r="J31" s="8">
        <f t="shared" si="0"/>
        <v>1287</v>
      </c>
      <c r="K31" t="s">
        <v>175</v>
      </c>
      <c r="L31" t="s">
        <v>20</v>
      </c>
      <c r="M31" t="s">
        <v>261</v>
      </c>
      <c r="N31" t="s">
        <v>261</v>
      </c>
      <c r="O31" t="s">
        <v>261</v>
      </c>
      <c r="P31" t="s">
        <v>261</v>
      </c>
      <c r="Q31" t="s">
        <v>261</v>
      </c>
      <c r="R31" t="s">
        <v>261</v>
      </c>
      <c r="S31" t="s">
        <v>261</v>
      </c>
      <c r="T31" t="s">
        <v>261</v>
      </c>
      <c r="U31" t="s">
        <v>261</v>
      </c>
      <c r="V31" t="s">
        <v>261</v>
      </c>
      <c r="W31" t="s">
        <v>261</v>
      </c>
    </row>
    <row r="32" spans="1:23">
      <c r="A32" s="14">
        <f t="shared" si="1"/>
        <v>31</v>
      </c>
      <c r="B32" s="10" t="s">
        <v>178</v>
      </c>
      <c r="C32" s="6">
        <v>44264</v>
      </c>
      <c r="D32" t="s">
        <v>179</v>
      </c>
      <c r="E32" t="s">
        <v>180</v>
      </c>
      <c r="F32" t="s">
        <v>181</v>
      </c>
      <c r="G32" t="s">
        <v>18</v>
      </c>
      <c r="H32">
        <v>1</v>
      </c>
      <c r="I32" s="8">
        <v>720</v>
      </c>
      <c r="J32" s="8">
        <f t="shared" si="0"/>
        <v>720</v>
      </c>
      <c r="K32" t="s">
        <v>182</v>
      </c>
      <c r="L32" t="s">
        <v>183</v>
      </c>
      <c r="M32" s="21"/>
      <c r="N32" s="21"/>
      <c r="O32" t="s">
        <v>261</v>
      </c>
      <c r="P32" t="s">
        <v>261</v>
      </c>
      <c r="Q32" t="s">
        <v>261</v>
      </c>
      <c r="R32" t="s">
        <v>261</v>
      </c>
      <c r="S32" t="s">
        <v>261</v>
      </c>
      <c r="T32" t="s">
        <v>261</v>
      </c>
      <c r="U32" t="s">
        <v>261</v>
      </c>
      <c r="V32" t="s">
        <v>261</v>
      </c>
      <c r="W32" t="s">
        <v>261</v>
      </c>
    </row>
    <row r="33" spans="1:23">
      <c r="A33" s="15">
        <f t="shared" si="1"/>
        <v>32</v>
      </c>
      <c r="B33" s="10" t="s">
        <v>184</v>
      </c>
      <c r="C33" s="6">
        <v>44267</v>
      </c>
      <c r="D33" t="s">
        <v>2425</v>
      </c>
      <c r="E33" t="s">
        <v>186</v>
      </c>
      <c r="F33" t="s">
        <v>187</v>
      </c>
      <c r="G33" t="s">
        <v>18</v>
      </c>
      <c r="H33">
        <v>1</v>
      </c>
      <c r="I33" s="8">
        <v>4939.16</v>
      </c>
      <c r="J33" s="8">
        <f t="shared" si="0"/>
        <v>4939.16</v>
      </c>
      <c r="K33" t="s">
        <v>188</v>
      </c>
      <c r="L33" t="s">
        <v>189</v>
      </c>
      <c r="M33" t="s">
        <v>261</v>
      </c>
      <c r="N33" t="s">
        <v>261</v>
      </c>
      <c r="O33" t="s">
        <v>261</v>
      </c>
      <c r="P33" t="s">
        <v>261</v>
      </c>
      <c r="Q33" t="s">
        <v>261</v>
      </c>
      <c r="R33" t="s">
        <v>261</v>
      </c>
      <c r="S33" t="s">
        <v>261</v>
      </c>
      <c r="T33" t="s">
        <v>261</v>
      </c>
      <c r="U33" t="s">
        <v>261</v>
      </c>
      <c r="V33" t="s">
        <v>261</v>
      </c>
      <c r="W33" t="s">
        <v>261</v>
      </c>
    </row>
    <row r="34" spans="1:23">
      <c r="A34" s="12">
        <f t="shared" si="1"/>
        <v>33</v>
      </c>
      <c r="B34" s="10" t="s">
        <v>1724</v>
      </c>
      <c r="C34" s="6">
        <v>44273</v>
      </c>
      <c r="D34" t="s">
        <v>2424</v>
      </c>
      <c r="E34" t="s">
        <v>191</v>
      </c>
      <c r="F34" t="s">
        <v>192</v>
      </c>
      <c r="G34" t="s">
        <v>63</v>
      </c>
      <c r="H34">
        <v>2</v>
      </c>
      <c r="I34" s="8">
        <v>3577</v>
      </c>
      <c r="J34" s="8">
        <f t="shared" si="0"/>
        <v>1788.5</v>
      </c>
      <c r="K34" t="s">
        <v>1725</v>
      </c>
      <c r="L34" t="s">
        <v>193</v>
      </c>
      <c r="M34" t="s">
        <v>261</v>
      </c>
      <c r="N34" t="s">
        <v>261</v>
      </c>
      <c r="O34" t="s">
        <v>261</v>
      </c>
      <c r="P34" t="s">
        <v>261</v>
      </c>
      <c r="Q34" t="s">
        <v>261</v>
      </c>
      <c r="R34" t="s">
        <v>261</v>
      </c>
      <c r="S34" t="s">
        <v>261</v>
      </c>
      <c r="T34" t="s">
        <v>261</v>
      </c>
      <c r="U34" t="s">
        <v>261</v>
      </c>
      <c r="V34" t="s">
        <v>261</v>
      </c>
      <c r="W34" t="s">
        <v>261</v>
      </c>
    </row>
    <row r="35" spans="1:23">
      <c r="A35">
        <f t="shared" si="1"/>
        <v>34</v>
      </c>
      <c r="B35" s="10" t="s">
        <v>194</v>
      </c>
      <c r="C35" s="6">
        <v>44274</v>
      </c>
      <c r="D35" t="s">
        <v>2435</v>
      </c>
      <c r="E35" t="s">
        <v>196</v>
      </c>
      <c r="F35" t="s">
        <v>197</v>
      </c>
      <c r="G35" t="s">
        <v>18</v>
      </c>
      <c r="H35">
        <v>1</v>
      </c>
      <c r="I35" s="8">
        <v>1500</v>
      </c>
      <c r="J35" s="8">
        <f t="shared" si="0"/>
        <v>1500</v>
      </c>
      <c r="K35" t="s">
        <v>198</v>
      </c>
      <c r="L35" t="s">
        <v>199</v>
      </c>
      <c r="M35" t="s">
        <v>261</v>
      </c>
      <c r="N35" t="s">
        <v>261</v>
      </c>
      <c r="O35" t="s">
        <v>261</v>
      </c>
      <c r="P35" t="s">
        <v>261</v>
      </c>
      <c r="Q35" t="s">
        <v>261</v>
      </c>
      <c r="R35" t="s">
        <v>261</v>
      </c>
      <c r="S35" t="s">
        <v>261</v>
      </c>
      <c r="T35" t="s">
        <v>261</v>
      </c>
      <c r="U35" t="s">
        <v>261</v>
      </c>
      <c r="V35" t="s">
        <v>261</v>
      </c>
      <c r="W35" t="s">
        <v>261</v>
      </c>
    </row>
    <row r="36" spans="1:23">
      <c r="A36">
        <f t="shared" si="1"/>
        <v>35</v>
      </c>
      <c r="B36" s="102" t="s">
        <v>200</v>
      </c>
      <c r="C36" s="6">
        <v>44275</v>
      </c>
      <c r="D36" t="s">
        <v>201</v>
      </c>
      <c r="F36" t="s">
        <v>202</v>
      </c>
      <c r="G36" t="s">
        <v>63</v>
      </c>
      <c r="H36">
        <v>1</v>
      </c>
      <c r="I36" s="8">
        <v>2669</v>
      </c>
      <c r="J36" s="8">
        <f t="shared" si="0"/>
        <v>2669</v>
      </c>
      <c r="K36" t="s">
        <v>203</v>
      </c>
      <c r="L36" t="s">
        <v>204</v>
      </c>
      <c r="M36" t="s">
        <v>261</v>
      </c>
      <c r="N36" t="s">
        <v>261</v>
      </c>
      <c r="O36" t="s">
        <v>261</v>
      </c>
      <c r="P36" t="s">
        <v>261</v>
      </c>
      <c r="Q36" t="s">
        <v>261</v>
      </c>
      <c r="R36" t="s">
        <v>261</v>
      </c>
      <c r="S36" t="s">
        <v>261</v>
      </c>
      <c r="T36" t="s">
        <v>261</v>
      </c>
      <c r="U36" t="s">
        <v>261</v>
      </c>
      <c r="V36" t="s">
        <v>261</v>
      </c>
      <c r="W36" t="s">
        <v>261</v>
      </c>
    </row>
    <row r="37" spans="1:23">
      <c r="A37" s="12">
        <f t="shared" si="1"/>
        <v>36</v>
      </c>
      <c r="B37" s="17" t="s">
        <v>446</v>
      </c>
      <c r="C37" s="6">
        <v>44278</v>
      </c>
      <c r="D37" t="s">
        <v>205</v>
      </c>
      <c r="E37" t="s">
        <v>206</v>
      </c>
      <c r="F37" s="13" t="s">
        <v>207</v>
      </c>
      <c r="G37" t="s">
        <v>18</v>
      </c>
      <c r="H37">
        <v>3</v>
      </c>
      <c r="I37" s="8">
        <v>2184.4</v>
      </c>
      <c r="J37" s="8">
        <f t="shared" si="0"/>
        <v>728.13333333333333</v>
      </c>
      <c r="K37" t="s">
        <v>447</v>
      </c>
      <c r="L37" t="s">
        <v>217</v>
      </c>
      <c r="M37" t="s">
        <v>261</v>
      </c>
      <c r="N37" t="s">
        <v>261</v>
      </c>
      <c r="O37" t="s">
        <v>261</v>
      </c>
      <c r="P37" t="s">
        <v>261</v>
      </c>
      <c r="Q37" t="s">
        <v>261</v>
      </c>
      <c r="R37" t="s">
        <v>261</v>
      </c>
      <c r="S37" t="s">
        <v>261</v>
      </c>
      <c r="T37" t="s">
        <v>261</v>
      </c>
      <c r="U37" t="s">
        <v>261</v>
      </c>
      <c r="V37" t="s">
        <v>261</v>
      </c>
      <c r="W37" t="s">
        <v>261</v>
      </c>
    </row>
    <row r="38" spans="1:23">
      <c r="A38">
        <f t="shared" si="1"/>
        <v>37</v>
      </c>
      <c r="B38" s="10" t="s">
        <v>213</v>
      </c>
      <c r="C38" s="6">
        <v>44277</v>
      </c>
      <c r="D38" t="s">
        <v>214</v>
      </c>
      <c r="E38" t="s">
        <v>215</v>
      </c>
      <c r="F38" t="s">
        <v>216</v>
      </c>
      <c r="G38" t="s">
        <v>18</v>
      </c>
      <c r="H38">
        <v>1</v>
      </c>
      <c r="I38" s="8">
        <v>990</v>
      </c>
      <c r="J38" s="8">
        <f t="shared" si="0"/>
        <v>990</v>
      </c>
      <c r="K38" t="s">
        <v>175</v>
      </c>
      <c r="L38" t="s">
        <v>218</v>
      </c>
      <c r="M38" t="s">
        <v>261</v>
      </c>
      <c r="N38" t="s">
        <v>261</v>
      </c>
      <c r="O38" t="s">
        <v>261</v>
      </c>
      <c r="P38" t="s">
        <v>261</v>
      </c>
      <c r="Q38" t="s">
        <v>261</v>
      </c>
      <c r="R38" t="s">
        <v>261</v>
      </c>
      <c r="S38" t="s">
        <v>261</v>
      </c>
      <c r="T38" t="s">
        <v>261</v>
      </c>
      <c r="U38" t="s">
        <v>261</v>
      </c>
      <c r="V38" t="s">
        <v>261</v>
      </c>
      <c r="W38" t="s">
        <v>261</v>
      </c>
    </row>
    <row r="39" spans="1:23">
      <c r="A39">
        <f t="shared" si="1"/>
        <v>38</v>
      </c>
      <c r="B39" s="10" t="s">
        <v>208</v>
      </c>
      <c r="C39" s="6">
        <v>44282</v>
      </c>
      <c r="D39" t="s">
        <v>209</v>
      </c>
      <c r="E39" t="s">
        <v>210</v>
      </c>
      <c r="F39" t="s">
        <v>211</v>
      </c>
      <c r="G39" t="s">
        <v>18</v>
      </c>
      <c r="H39">
        <v>1</v>
      </c>
      <c r="I39" s="8">
        <v>592</v>
      </c>
      <c r="J39" s="8">
        <f t="shared" si="0"/>
        <v>592</v>
      </c>
      <c r="K39" t="s">
        <v>212</v>
      </c>
      <c r="L39" t="s">
        <v>249</v>
      </c>
      <c r="M39" t="s">
        <v>261</v>
      </c>
      <c r="N39" t="s">
        <v>261</v>
      </c>
      <c r="O39" t="s">
        <v>261</v>
      </c>
      <c r="P39" t="s">
        <v>261</v>
      </c>
      <c r="Q39" t="s">
        <v>261</v>
      </c>
      <c r="R39" t="s">
        <v>261</v>
      </c>
      <c r="S39" t="s">
        <v>261</v>
      </c>
      <c r="T39" t="s">
        <v>261</v>
      </c>
      <c r="U39" t="s">
        <v>261</v>
      </c>
      <c r="V39" t="s">
        <v>261</v>
      </c>
      <c r="W39" t="s">
        <v>261</v>
      </c>
    </row>
    <row r="40" spans="1:23">
      <c r="A40">
        <f t="shared" si="1"/>
        <v>39</v>
      </c>
      <c r="B40" s="10" t="s">
        <v>219</v>
      </c>
      <c r="C40" s="6">
        <v>44284</v>
      </c>
      <c r="D40" t="s">
        <v>220</v>
      </c>
      <c r="E40" t="s">
        <v>221</v>
      </c>
      <c r="F40" t="s">
        <v>222</v>
      </c>
      <c r="G40" t="s">
        <v>18</v>
      </c>
      <c r="H40">
        <v>1</v>
      </c>
      <c r="I40" s="8">
        <v>1071.5</v>
      </c>
      <c r="J40" s="8">
        <f t="shared" si="0"/>
        <v>1071.5</v>
      </c>
      <c r="K40" t="s">
        <v>223</v>
      </c>
      <c r="L40" t="s">
        <v>259</v>
      </c>
      <c r="M40" t="s">
        <v>261</v>
      </c>
      <c r="N40" t="s">
        <v>261</v>
      </c>
      <c r="O40" t="s">
        <v>261</v>
      </c>
      <c r="P40" t="s">
        <v>261</v>
      </c>
      <c r="Q40" t="s">
        <v>261</v>
      </c>
      <c r="R40" t="s">
        <v>261</v>
      </c>
      <c r="S40" t="s">
        <v>261</v>
      </c>
      <c r="T40" t="s">
        <v>261</v>
      </c>
      <c r="U40" t="s">
        <v>261</v>
      </c>
      <c r="V40" t="s">
        <v>261</v>
      </c>
      <c r="W40" t="s">
        <v>261</v>
      </c>
    </row>
    <row r="41" spans="1:23">
      <c r="A41" s="21">
        <f t="shared" si="1"/>
        <v>40</v>
      </c>
      <c r="B41" s="10" t="s">
        <v>224</v>
      </c>
      <c r="C41" s="6">
        <v>44287</v>
      </c>
      <c r="D41" t="s">
        <v>225</v>
      </c>
      <c r="E41" t="s">
        <v>226</v>
      </c>
      <c r="F41" t="s">
        <v>227</v>
      </c>
      <c r="G41" t="s">
        <v>228</v>
      </c>
      <c r="H41">
        <v>1</v>
      </c>
      <c r="I41" s="8">
        <v>1130</v>
      </c>
      <c r="J41" s="8">
        <f t="shared" si="0"/>
        <v>1130</v>
      </c>
      <c r="K41" t="s">
        <v>229</v>
      </c>
      <c r="L41" t="s">
        <v>230</v>
      </c>
      <c r="M41" t="s">
        <v>261</v>
      </c>
      <c r="N41" t="s">
        <v>261</v>
      </c>
      <c r="O41" t="s">
        <v>261</v>
      </c>
      <c r="P41" t="s">
        <v>261</v>
      </c>
      <c r="Q41" t="s">
        <v>261</v>
      </c>
      <c r="R41" t="s">
        <v>261</v>
      </c>
      <c r="S41" t="s">
        <v>261</v>
      </c>
      <c r="T41" t="s">
        <v>261</v>
      </c>
      <c r="U41" t="s">
        <v>261</v>
      </c>
      <c r="V41" t="s">
        <v>261</v>
      </c>
      <c r="W41" t="s">
        <v>261</v>
      </c>
    </row>
    <row r="42" spans="1:23">
      <c r="A42">
        <f t="shared" si="1"/>
        <v>41</v>
      </c>
      <c r="B42" s="10" t="s">
        <v>231</v>
      </c>
      <c r="C42" s="6">
        <v>44289</v>
      </c>
      <c r="D42" t="s">
        <v>232</v>
      </c>
      <c r="E42" t="s">
        <v>233</v>
      </c>
      <c r="F42" t="s">
        <v>234</v>
      </c>
      <c r="G42" t="s">
        <v>18</v>
      </c>
      <c r="H42">
        <v>1</v>
      </c>
      <c r="I42" s="8">
        <v>1018</v>
      </c>
      <c r="J42" s="8">
        <f t="shared" si="0"/>
        <v>1018</v>
      </c>
      <c r="K42" t="s">
        <v>235</v>
      </c>
      <c r="L42" t="s">
        <v>249</v>
      </c>
      <c r="M42" t="s">
        <v>261</v>
      </c>
      <c r="N42" t="s">
        <v>261</v>
      </c>
      <c r="O42" t="s">
        <v>261</v>
      </c>
      <c r="P42" t="s">
        <v>261</v>
      </c>
      <c r="Q42" t="s">
        <v>261</v>
      </c>
      <c r="R42" t="s">
        <v>261</v>
      </c>
      <c r="S42" t="s">
        <v>261</v>
      </c>
      <c r="T42" t="s">
        <v>261</v>
      </c>
      <c r="U42" t="s">
        <v>261</v>
      </c>
      <c r="V42" t="s">
        <v>261</v>
      </c>
      <c r="W42" t="s">
        <v>261</v>
      </c>
    </row>
    <row r="43" spans="1:23">
      <c r="A43">
        <f t="shared" si="1"/>
        <v>42</v>
      </c>
      <c r="B43" s="101" t="s">
        <v>236</v>
      </c>
      <c r="C43" s="6">
        <v>44291</v>
      </c>
      <c r="D43" t="s">
        <v>237</v>
      </c>
      <c r="E43" t="s">
        <v>238</v>
      </c>
      <c r="F43" t="s">
        <v>239</v>
      </c>
      <c r="G43" t="s">
        <v>18</v>
      </c>
      <c r="H43">
        <v>1</v>
      </c>
      <c r="I43" s="8">
        <v>1040</v>
      </c>
      <c r="J43" s="8">
        <f t="shared" si="0"/>
        <v>1040</v>
      </c>
      <c r="K43" t="s">
        <v>240</v>
      </c>
      <c r="L43" t="s">
        <v>241</v>
      </c>
      <c r="M43" t="s">
        <v>261</v>
      </c>
      <c r="N43" t="s">
        <v>261</v>
      </c>
      <c r="O43" t="s">
        <v>261</v>
      </c>
      <c r="P43" t="s">
        <v>261</v>
      </c>
      <c r="Q43" t="s">
        <v>261</v>
      </c>
      <c r="R43" t="s">
        <v>261</v>
      </c>
      <c r="S43" t="s">
        <v>261</v>
      </c>
      <c r="T43" t="s">
        <v>261</v>
      </c>
      <c r="U43" t="s">
        <v>261</v>
      </c>
      <c r="V43" t="s">
        <v>261</v>
      </c>
      <c r="W43" t="s">
        <v>261</v>
      </c>
    </row>
    <row r="44" spans="1:23">
      <c r="A44">
        <f t="shared" si="1"/>
        <v>43</v>
      </c>
      <c r="B44" s="10" t="s">
        <v>242</v>
      </c>
      <c r="C44" s="6">
        <v>44292</v>
      </c>
      <c r="D44" t="s">
        <v>250</v>
      </c>
      <c r="E44" t="s">
        <v>251</v>
      </c>
      <c r="F44" t="s">
        <v>252</v>
      </c>
      <c r="G44" t="s">
        <v>18</v>
      </c>
      <c r="H44">
        <v>1</v>
      </c>
      <c r="I44" s="8">
        <v>696</v>
      </c>
      <c r="J44" s="8">
        <f t="shared" si="0"/>
        <v>696</v>
      </c>
      <c r="K44" t="s">
        <v>253</v>
      </c>
      <c r="L44" t="s">
        <v>260</v>
      </c>
      <c r="M44" t="s">
        <v>261</v>
      </c>
      <c r="N44" t="s">
        <v>261</v>
      </c>
      <c r="O44" t="s">
        <v>261</v>
      </c>
      <c r="P44" t="s">
        <v>261</v>
      </c>
      <c r="Q44" t="s">
        <v>261</v>
      </c>
      <c r="R44" t="s">
        <v>261</v>
      </c>
      <c r="S44" t="s">
        <v>261</v>
      </c>
      <c r="T44" t="s">
        <v>261</v>
      </c>
      <c r="U44" t="s">
        <v>261</v>
      </c>
      <c r="V44" t="s">
        <v>261</v>
      </c>
      <c r="W44" t="s">
        <v>261</v>
      </c>
    </row>
    <row r="45" spans="1:23">
      <c r="A45">
        <f t="shared" si="1"/>
        <v>44</v>
      </c>
      <c r="B45" s="101" t="s">
        <v>243</v>
      </c>
      <c r="C45" s="6">
        <v>44292</v>
      </c>
      <c r="D45" t="s">
        <v>254</v>
      </c>
      <c r="E45" t="s">
        <v>255</v>
      </c>
      <c r="F45" t="s">
        <v>256</v>
      </c>
      <c r="G45" t="s">
        <v>18</v>
      </c>
      <c r="H45">
        <v>1</v>
      </c>
      <c r="I45" s="8">
        <v>968</v>
      </c>
      <c r="J45" s="8">
        <f t="shared" si="0"/>
        <v>968</v>
      </c>
      <c r="K45" t="s">
        <v>257</v>
      </c>
      <c r="L45" t="s">
        <v>258</v>
      </c>
      <c r="M45" t="s">
        <v>261</v>
      </c>
      <c r="N45" t="s">
        <v>261</v>
      </c>
      <c r="O45" t="s">
        <v>261</v>
      </c>
      <c r="P45" t="s">
        <v>261</v>
      </c>
      <c r="Q45" t="s">
        <v>261</v>
      </c>
      <c r="R45" t="s">
        <v>261</v>
      </c>
      <c r="S45" t="s">
        <v>261</v>
      </c>
      <c r="T45" t="s">
        <v>261</v>
      </c>
      <c r="U45" t="s">
        <v>261</v>
      </c>
      <c r="V45" t="s">
        <v>261</v>
      </c>
      <c r="W45" t="s">
        <v>261</v>
      </c>
    </row>
    <row r="46" spans="1:23">
      <c r="A46">
        <f t="shared" si="1"/>
        <v>45</v>
      </c>
      <c r="B46" s="10" t="s">
        <v>244</v>
      </c>
      <c r="C46" s="6">
        <v>44291</v>
      </c>
      <c r="D46" t="s">
        <v>245</v>
      </c>
      <c r="E46" t="s">
        <v>246</v>
      </c>
      <c r="F46" t="s">
        <v>247</v>
      </c>
      <c r="G46" t="s">
        <v>18</v>
      </c>
      <c r="H46">
        <v>1</v>
      </c>
      <c r="I46" s="8">
        <v>680</v>
      </c>
      <c r="J46" s="8">
        <f t="shared" si="0"/>
        <v>680</v>
      </c>
      <c r="K46" t="s">
        <v>248</v>
      </c>
      <c r="L46" t="s">
        <v>268</v>
      </c>
      <c r="M46" t="s">
        <v>261</v>
      </c>
      <c r="N46" t="s">
        <v>261</v>
      </c>
      <c r="O46" t="s">
        <v>261</v>
      </c>
      <c r="P46" t="s">
        <v>261</v>
      </c>
      <c r="Q46" t="s">
        <v>261</v>
      </c>
      <c r="R46" t="s">
        <v>261</v>
      </c>
      <c r="S46" t="s">
        <v>261</v>
      </c>
      <c r="T46" t="s">
        <v>261</v>
      </c>
      <c r="U46" t="s">
        <v>261</v>
      </c>
      <c r="V46" t="s">
        <v>261</v>
      </c>
      <c r="W46" t="s">
        <v>261</v>
      </c>
    </row>
    <row r="47" spans="1:23">
      <c r="A47">
        <f t="shared" si="1"/>
        <v>46</v>
      </c>
      <c r="B47" s="10" t="s">
        <v>286</v>
      </c>
      <c r="C47" s="6">
        <v>44293</v>
      </c>
      <c r="D47" t="s">
        <v>287</v>
      </c>
      <c r="E47" t="s">
        <v>288</v>
      </c>
      <c r="F47" t="s">
        <v>289</v>
      </c>
      <c r="G47" t="s">
        <v>18</v>
      </c>
      <c r="H47">
        <v>1</v>
      </c>
      <c r="I47" s="8">
        <v>1805</v>
      </c>
      <c r="J47" s="8">
        <f t="shared" si="0"/>
        <v>1805</v>
      </c>
      <c r="K47" t="s">
        <v>290</v>
      </c>
      <c r="L47" t="s">
        <v>20</v>
      </c>
      <c r="M47" t="s">
        <v>261</v>
      </c>
      <c r="N47" t="s">
        <v>261</v>
      </c>
      <c r="O47" t="s">
        <v>261</v>
      </c>
      <c r="P47" t="s">
        <v>261</v>
      </c>
      <c r="Q47" t="s">
        <v>261</v>
      </c>
      <c r="R47" t="s">
        <v>261</v>
      </c>
      <c r="S47" t="s">
        <v>261</v>
      </c>
      <c r="T47" t="s">
        <v>261</v>
      </c>
      <c r="U47" t="s">
        <v>261</v>
      </c>
      <c r="V47" t="s">
        <v>261</v>
      </c>
      <c r="W47" t="s">
        <v>261</v>
      </c>
    </row>
    <row r="48" spans="1:23">
      <c r="A48">
        <f t="shared" si="1"/>
        <v>47</v>
      </c>
      <c r="B48" s="10" t="s">
        <v>262</v>
      </c>
      <c r="C48" s="6">
        <v>44295</v>
      </c>
      <c r="D48" t="s">
        <v>263</v>
      </c>
      <c r="E48" t="s">
        <v>264</v>
      </c>
      <c r="F48" t="s">
        <v>265</v>
      </c>
      <c r="G48" t="s">
        <v>18</v>
      </c>
      <c r="H48">
        <v>1</v>
      </c>
      <c r="I48" s="8">
        <v>1194</v>
      </c>
      <c r="J48" s="8">
        <f t="shared" si="0"/>
        <v>1194</v>
      </c>
      <c r="K48" t="s">
        <v>266</v>
      </c>
      <c r="L48" t="s">
        <v>267</v>
      </c>
      <c r="M48" t="s">
        <v>261</v>
      </c>
      <c r="N48" t="s">
        <v>261</v>
      </c>
      <c r="O48" t="s">
        <v>261</v>
      </c>
      <c r="P48" t="s">
        <v>261</v>
      </c>
      <c r="Q48" t="s">
        <v>261</v>
      </c>
      <c r="R48" t="s">
        <v>261</v>
      </c>
      <c r="S48" t="s">
        <v>261</v>
      </c>
      <c r="T48" t="s">
        <v>261</v>
      </c>
      <c r="U48" t="s">
        <v>261</v>
      </c>
      <c r="V48" t="s">
        <v>261</v>
      </c>
      <c r="W48" t="s">
        <v>261</v>
      </c>
    </row>
    <row r="49" spans="1:23">
      <c r="A49">
        <f t="shared" si="1"/>
        <v>48</v>
      </c>
      <c r="B49" s="101" t="s">
        <v>269</v>
      </c>
      <c r="C49" s="6">
        <v>44295</v>
      </c>
      <c r="D49" t="s">
        <v>270</v>
      </c>
      <c r="E49" t="s">
        <v>271</v>
      </c>
      <c r="F49" t="s">
        <v>272</v>
      </c>
      <c r="G49" t="s">
        <v>18</v>
      </c>
      <c r="H49">
        <v>1</v>
      </c>
      <c r="I49" s="8">
        <v>612</v>
      </c>
      <c r="J49" s="8">
        <f t="shared" si="0"/>
        <v>612</v>
      </c>
      <c r="K49" t="s">
        <v>273</v>
      </c>
      <c r="L49" t="s">
        <v>274</v>
      </c>
      <c r="M49" t="s">
        <v>261</v>
      </c>
      <c r="N49" t="s">
        <v>261</v>
      </c>
      <c r="O49" t="s">
        <v>261</v>
      </c>
      <c r="P49" t="s">
        <v>261</v>
      </c>
      <c r="Q49" t="s">
        <v>261</v>
      </c>
      <c r="R49" t="s">
        <v>261</v>
      </c>
      <c r="S49" t="s">
        <v>261</v>
      </c>
      <c r="T49" t="s">
        <v>261</v>
      </c>
      <c r="U49" t="s">
        <v>261</v>
      </c>
      <c r="V49" t="s">
        <v>261</v>
      </c>
      <c r="W49" t="s">
        <v>261</v>
      </c>
    </row>
    <row r="50" spans="1:23">
      <c r="A50" s="15">
        <f t="shared" si="1"/>
        <v>49</v>
      </c>
      <c r="B50" s="10" t="s">
        <v>276</v>
      </c>
      <c r="C50" s="6">
        <v>44298</v>
      </c>
      <c r="D50" t="s">
        <v>277</v>
      </c>
      <c r="E50" t="s">
        <v>278</v>
      </c>
      <c r="F50" t="s">
        <v>279</v>
      </c>
      <c r="G50" t="s">
        <v>18</v>
      </c>
      <c r="H50">
        <v>1</v>
      </c>
      <c r="I50" s="8">
        <v>2580</v>
      </c>
      <c r="J50" s="8">
        <f t="shared" si="0"/>
        <v>2580</v>
      </c>
      <c r="K50" t="s">
        <v>280</v>
      </c>
      <c r="L50" t="s">
        <v>281</v>
      </c>
      <c r="M50" t="s">
        <v>261</v>
      </c>
      <c r="N50" t="s">
        <v>261</v>
      </c>
      <c r="O50" t="s">
        <v>261</v>
      </c>
      <c r="P50" t="s">
        <v>261</v>
      </c>
      <c r="Q50" t="s">
        <v>261</v>
      </c>
      <c r="R50" t="s">
        <v>261</v>
      </c>
      <c r="S50" t="s">
        <v>261</v>
      </c>
      <c r="T50" t="s">
        <v>261</v>
      </c>
      <c r="U50" t="s">
        <v>261</v>
      </c>
      <c r="V50" t="s">
        <v>261</v>
      </c>
      <c r="W50" t="s">
        <v>261</v>
      </c>
    </row>
    <row r="51" spans="1:23">
      <c r="A51" s="12">
        <f t="shared" si="1"/>
        <v>50</v>
      </c>
      <c r="B51" s="10" t="s">
        <v>1611</v>
      </c>
      <c r="C51" s="6">
        <v>44298</v>
      </c>
      <c r="D51" t="s">
        <v>282</v>
      </c>
      <c r="E51" t="s">
        <v>283</v>
      </c>
      <c r="F51" t="s">
        <v>284</v>
      </c>
      <c r="G51" t="s">
        <v>18</v>
      </c>
      <c r="H51">
        <v>2</v>
      </c>
      <c r="I51" s="8">
        <v>2612</v>
      </c>
      <c r="J51" s="8">
        <f t="shared" si="0"/>
        <v>1306</v>
      </c>
      <c r="K51" t="s">
        <v>1612</v>
      </c>
      <c r="L51" t="s">
        <v>140</v>
      </c>
      <c r="M51" t="s">
        <v>261</v>
      </c>
      <c r="N51" t="s">
        <v>261</v>
      </c>
      <c r="O51" t="s">
        <v>261</v>
      </c>
      <c r="P51" t="s">
        <v>261</v>
      </c>
      <c r="Q51" t="s">
        <v>261</v>
      </c>
      <c r="R51" t="s">
        <v>261</v>
      </c>
      <c r="S51" t="s">
        <v>261</v>
      </c>
      <c r="T51" t="s">
        <v>261</v>
      </c>
      <c r="U51" t="s">
        <v>261</v>
      </c>
      <c r="V51" t="s">
        <v>261</v>
      </c>
      <c r="W51" t="s">
        <v>261</v>
      </c>
    </row>
    <row r="52" spans="1:23">
      <c r="A52" s="12">
        <f t="shared" si="1"/>
        <v>51</v>
      </c>
      <c r="B52" s="10" t="s">
        <v>1326</v>
      </c>
      <c r="C52" s="6">
        <v>44298</v>
      </c>
      <c r="D52" t="s">
        <v>310</v>
      </c>
      <c r="E52" t="s">
        <v>311</v>
      </c>
      <c r="F52" t="s">
        <v>312</v>
      </c>
      <c r="G52" t="s">
        <v>18</v>
      </c>
      <c r="H52">
        <v>2</v>
      </c>
      <c r="I52" s="8">
        <v>1130.4000000000001</v>
      </c>
      <c r="J52" s="8">
        <f t="shared" si="0"/>
        <v>565.20000000000005</v>
      </c>
      <c r="K52" t="s">
        <v>313</v>
      </c>
      <c r="M52" t="s">
        <v>261</v>
      </c>
      <c r="N52" t="s">
        <v>261</v>
      </c>
      <c r="O52" t="s">
        <v>261</v>
      </c>
      <c r="P52" t="s">
        <v>261</v>
      </c>
      <c r="Q52" t="s">
        <v>261</v>
      </c>
      <c r="R52" t="s">
        <v>261</v>
      </c>
      <c r="S52" t="s">
        <v>261</v>
      </c>
      <c r="T52" t="s">
        <v>261</v>
      </c>
      <c r="U52" t="s">
        <v>261</v>
      </c>
      <c r="V52" t="s">
        <v>261</v>
      </c>
      <c r="W52" t="s">
        <v>261</v>
      </c>
    </row>
    <row r="53" spans="1:23">
      <c r="A53">
        <f t="shared" si="1"/>
        <v>52</v>
      </c>
      <c r="B53" s="10" t="s">
        <v>291</v>
      </c>
      <c r="C53" s="6">
        <v>44299</v>
      </c>
      <c r="D53" t="s">
        <v>292</v>
      </c>
      <c r="E53" t="s">
        <v>293</v>
      </c>
      <c r="F53" t="s">
        <v>294</v>
      </c>
      <c r="G53" t="s">
        <v>18</v>
      </c>
      <c r="H53">
        <v>1</v>
      </c>
      <c r="I53" s="8">
        <v>2422</v>
      </c>
      <c r="J53" s="8">
        <f t="shared" si="0"/>
        <v>2422</v>
      </c>
      <c r="K53" t="s">
        <v>295</v>
      </c>
      <c r="L53" t="s">
        <v>38</v>
      </c>
      <c r="M53" t="s">
        <v>261</v>
      </c>
      <c r="N53" t="s">
        <v>261</v>
      </c>
      <c r="O53" t="s">
        <v>261</v>
      </c>
      <c r="P53" t="s">
        <v>261</v>
      </c>
      <c r="Q53" t="s">
        <v>261</v>
      </c>
      <c r="R53" t="s">
        <v>261</v>
      </c>
      <c r="S53" t="s">
        <v>261</v>
      </c>
      <c r="T53" t="s">
        <v>261</v>
      </c>
      <c r="U53" t="s">
        <v>261</v>
      </c>
      <c r="V53" t="s">
        <v>261</v>
      </c>
      <c r="W53" t="s">
        <v>261</v>
      </c>
    </row>
    <row r="54" spans="1:23">
      <c r="A54" s="12">
        <f t="shared" si="1"/>
        <v>53</v>
      </c>
      <c r="B54" s="10" t="s">
        <v>1947</v>
      </c>
      <c r="C54" s="6">
        <v>44300</v>
      </c>
      <c r="D54" t="s">
        <v>296</v>
      </c>
      <c r="E54" t="s">
        <v>297</v>
      </c>
      <c r="F54" t="s">
        <v>2428</v>
      </c>
      <c r="G54" t="s">
        <v>18</v>
      </c>
      <c r="H54">
        <v>3</v>
      </c>
      <c r="I54" s="8">
        <v>3233</v>
      </c>
      <c r="J54" s="8">
        <f t="shared" si="0"/>
        <v>1077.6666666666667</v>
      </c>
      <c r="K54" t="s">
        <v>1948</v>
      </c>
      <c r="L54" t="s">
        <v>298</v>
      </c>
      <c r="M54" t="s">
        <v>261</v>
      </c>
      <c r="N54" t="s">
        <v>261</v>
      </c>
      <c r="O54" t="s">
        <v>261</v>
      </c>
      <c r="P54" t="s">
        <v>261</v>
      </c>
      <c r="Q54" t="s">
        <v>261</v>
      </c>
      <c r="R54" t="s">
        <v>261</v>
      </c>
      <c r="S54" t="s">
        <v>261</v>
      </c>
      <c r="T54" t="s">
        <v>261</v>
      </c>
      <c r="U54" t="s">
        <v>261</v>
      </c>
      <c r="V54" t="s">
        <v>261</v>
      </c>
      <c r="W54" t="s">
        <v>261</v>
      </c>
    </row>
    <row r="55" spans="1:23">
      <c r="A55">
        <f t="shared" si="1"/>
        <v>54</v>
      </c>
      <c r="B55" s="10" t="s">
        <v>299</v>
      </c>
      <c r="C55" s="6">
        <v>44299</v>
      </c>
      <c r="D55" t="s">
        <v>314</v>
      </c>
      <c r="E55" t="s">
        <v>315</v>
      </c>
      <c r="F55" t="s">
        <v>316</v>
      </c>
      <c r="G55" t="s">
        <v>18</v>
      </c>
      <c r="H55">
        <v>1</v>
      </c>
      <c r="I55" s="8">
        <v>1178.95</v>
      </c>
      <c r="J55" s="8">
        <f t="shared" si="0"/>
        <v>1178.95</v>
      </c>
      <c r="K55" t="s">
        <v>317</v>
      </c>
      <c r="L55" t="s">
        <v>323</v>
      </c>
      <c r="M55" t="s">
        <v>261</v>
      </c>
      <c r="N55" t="s">
        <v>261</v>
      </c>
      <c r="O55" t="s">
        <v>261</v>
      </c>
      <c r="P55" t="s">
        <v>261</v>
      </c>
      <c r="Q55" t="s">
        <v>261</v>
      </c>
      <c r="R55" t="s">
        <v>261</v>
      </c>
      <c r="S55" t="s">
        <v>261</v>
      </c>
      <c r="T55" t="s">
        <v>261</v>
      </c>
      <c r="U55" t="s">
        <v>261</v>
      </c>
      <c r="V55" t="s">
        <v>261</v>
      </c>
      <c r="W55" t="s">
        <v>261</v>
      </c>
    </row>
    <row r="56" spans="1:23">
      <c r="A56" s="12">
        <f t="shared" si="1"/>
        <v>55</v>
      </c>
      <c r="B56" s="10" t="s">
        <v>307</v>
      </c>
      <c r="C56" s="6">
        <v>44300</v>
      </c>
      <c r="D56" t="s">
        <v>300</v>
      </c>
      <c r="E56" t="s">
        <v>301</v>
      </c>
      <c r="F56" t="s">
        <v>302</v>
      </c>
      <c r="G56" t="s">
        <v>18</v>
      </c>
      <c r="H56">
        <v>2</v>
      </c>
      <c r="I56" s="8">
        <v>3307.8</v>
      </c>
      <c r="J56" s="8">
        <f t="shared" si="0"/>
        <v>1653.9</v>
      </c>
      <c r="K56" t="s">
        <v>308</v>
      </c>
      <c r="L56" t="s">
        <v>281</v>
      </c>
      <c r="M56" t="s">
        <v>261</v>
      </c>
      <c r="N56" t="s">
        <v>261</v>
      </c>
      <c r="O56" t="s">
        <v>261</v>
      </c>
      <c r="P56" t="s">
        <v>261</v>
      </c>
      <c r="Q56" t="s">
        <v>261</v>
      </c>
      <c r="R56" t="s">
        <v>261</v>
      </c>
      <c r="S56" t="s">
        <v>261</v>
      </c>
      <c r="T56" t="s">
        <v>261</v>
      </c>
      <c r="U56" t="s">
        <v>261</v>
      </c>
      <c r="V56" t="s">
        <v>261</v>
      </c>
      <c r="W56" t="s">
        <v>261</v>
      </c>
    </row>
    <row r="57" spans="1:23">
      <c r="A57">
        <f t="shared" si="1"/>
        <v>56</v>
      </c>
      <c r="B57" s="101" t="s">
        <v>303</v>
      </c>
      <c r="C57" s="6">
        <v>44300</v>
      </c>
      <c r="D57" t="s">
        <v>304</v>
      </c>
      <c r="E57" t="s">
        <v>301</v>
      </c>
      <c r="F57" t="s">
        <v>305</v>
      </c>
      <c r="G57" t="s">
        <v>63</v>
      </c>
      <c r="H57">
        <v>1</v>
      </c>
      <c r="I57" s="8">
        <v>1922.4</v>
      </c>
      <c r="J57" s="8">
        <f t="shared" si="0"/>
        <v>1922.4</v>
      </c>
      <c r="K57" t="s">
        <v>306</v>
      </c>
      <c r="L57" t="s">
        <v>309</v>
      </c>
      <c r="M57" t="s">
        <v>261</v>
      </c>
      <c r="N57" t="s">
        <v>261</v>
      </c>
      <c r="O57" t="s">
        <v>261</v>
      </c>
      <c r="P57" t="s">
        <v>261</v>
      </c>
      <c r="Q57" t="s">
        <v>261</v>
      </c>
      <c r="R57" t="s">
        <v>261</v>
      </c>
      <c r="S57" t="s">
        <v>261</v>
      </c>
      <c r="T57" t="s">
        <v>261</v>
      </c>
      <c r="U57" t="s">
        <v>261</v>
      </c>
      <c r="V57" t="s">
        <v>261</v>
      </c>
      <c r="W57" t="s">
        <v>261</v>
      </c>
    </row>
    <row r="58" spans="1:23">
      <c r="A58">
        <f t="shared" si="1"/>
        <v>57</v>
      </c>
      <c r="B58" s="10" t="s">
        <v>318</v>
      </c>
      <c r="C58" s="6">
        <v>44303</v>
      </c>
      <c r="D58" t="s">
        <v>319</v>
      </c>
      <c r="E58" t="s">
        <v>320</v>
      </c>
      <c r="F58" t="s">
        <v>321</v>
      </c>
      <c r="G58" t="s">
        <v>18</v>
      </c>
      <c r="H58">
        <v>1</v>
      </c>
      <c r="I58" s="8">
        <v>980.4</v>
      </c>
      <c r="J58" s="8">
        <f t="shared" si="0"/>
        <v>980.4</v>
      </c>
      <c r="K58" t="s">
        <v>322</v>
      </c>
      <c r="L58" t="s">
        <v>281</v>
      </c>
      <c r="M58" t="s">
        <v>261</v>
      </c>
      <c r="N58" t="s">
        <v>261</v>
      </c>
      <c r="O58" t="s">
        <v>261</v>
      </c>
      <c r="P58" t="s">
        <v>261</v>
      </c>
      <c r="Q58" t="s">
        <v>261</v>
      </c>
      <c r="R58" t="s">
        <v>261</v>
      </c>
      <c r="S58" t="s">
        <v>261</v>
      </c>
      <c r="T58" t="s">
        <v>261</v>
      </c>
      <c r="U58" t="s">
        <v>261</v>
      </c>
      <c r="V58" t="s">
        <v>261</v>
      </c>
      <c r="W58" t="s">
        <v>261</v>
      </c>
    </row>
    <row r="59" spans="1:23">
      <c r="A59">
        <f t="shared" si="1"/>
        <v>58</v>
      </c>
      <c r="B59" s="10" t="s">
        <v>324</v>
      </c>
      <c r="C59" s="6">
        <v>44303</v>
      </c>
      <c r="D59" t="s">
        <v>325</v>
      </c>
      <c r="E59" t="s">
        <v>326</v>
      </c>
      <c r="F59" t="s">
        <v>327</v>
      </c>
      <c r="G59" t="s">
        <v>18</v>
      </c>
      <c r="H59">
        <v>1</v>
      </c>
      <c r="I59" s="8">
        <v>2198.6999999999998</v>
      </c>
      <c r="J59" s="8">
        <f t="shared" si="0"/>
        <v>2198.6999999999998</v>
      </c>
      <c r="K59" t="s">
        <v>328</v>
      </c>
      <c r="L59" t="s">
        <v>329</v>
      </c>
      <c r="M59" t="s">
        <v>261</v>
      </c>
      <c r="N59" t="s">
        <v>261</v>
      </c>
      <c r="O59" t="s">
        <v>261</v>
      </c>
      <c r="P59" t="s">
        <v>261</v>
      </c>
      <c r="Q59" t="s">
        <v>261</v>
      </c>
      <c r="R59" t="s">
        <v>261</v>
      </c>
      <c r="S59" t="s">
        <v>261</v>
      </c>
      <c r="T59" t="s">
        <v>261</v>
      </c>
      <c r="U59" t="s">
        <v>261</v>
      </c>
      <c r="V59" t="s">
        <v>261</v>
      </c>
      <c r="W59" t="s">
        <v>261</v>
      </c>
    </row>
    <row r="60" spans="1:23">
      <c r="A60">
        <f t="shared" si="1"/>
        <v>59</v>
      </c>
      <c r="B60" s="10" t="s">
        <v>330</v>
      </c>
      <c r="C60" s="6">
        <v>44305</v>
      </c>
      <c r="D60" t="s">
        <v>331</v>
      </c>
      <c r="E60" t="s">
        <v>332</v>
      </c>
      <c r="F60" t="s">
        <v>333</v>
      </c>
      <c r="G60" t="s">
        <v>18</v>
      </c>
      <c r="H60">
        <v>1</v>
      </c>
      <c r="I60" s="8">
        <v>1073</v>
      </c>
      <c r="J60" s="8">
        <f t="shared" si="0"/>
        <v>1073</v>
      </c>
      <c r="K60" t="s">
        <v>334</v>
      </c>
      <c r="L60" t="s">
        <v>335</v>
      </c>
      <c r="M60" t="s">
        <v>261</v>
      </c>
      <c r="N60" t="s">
        <v>261</v>
      </c>
      <c r="O60" t="s">
        <v>261</v>
      </c>
      <c r="P60" t="s">
        <v>261</v>
      </c>
      <c r="Q60" t="s">
        <v>261</v>
      </c>
      <c r="R60" t="s">
        <v>261</v>
      </c>
      <c r="S60" t="s">
        <v>261</v>
      </c>
      <c r="T60" t="s">
        <v>261</v>
      </c>
      <c r="U60" t="s">
        <v>261</v>
      </c>
      <c r="V60" t="s">
        <v>261</v>
      </c>
      <c r="W60" t="s">
        <v>261</v>
      </c>
    </row>
    <row r="61" spans="1:23">
      <c r="A61">
        <f t="shared" si="1"/>
        <v>60</v>
      </c>
      <c r="B61" s="10" t="s">
        <v>336</v>
      </c>
      <c r="C61" s="6">
        <v>44307</v>
      </c>
      <c r="D61" t="s">
        <v>337</v>
      </c>
      <c r="E61" t="s">
        <v>338</v>
      </c>
      <c r="F61" t="s">
        <v>339</v>
      </c>
      <c r="G61" t="s">
        <v>63</v>
      </c>
      <c r="H61">
        <v>1</v>
      </c>
      <c r="I61" s="8">
        <v>2183.4</v>
      </c>
      <c r="J61" s="8">
        <f t="shared" si="0"/>
        <v>2183.4</v>
      </c>
      <c r="K61" t="s">
        <v>340</v>
      </c>
      <c r="L61" t="s">
        <v>341</v>
      </c>
      <c r="M61" t="s">
        <v>261</v>
      </c>
      <c r="N61" t="s">
        <v>261</v>
      </c>
      <c r="O61" t="s">
        <v>261</v>
      </c>
      <c r="P61" t="s">
        <v>261</v>
      </c>
      <c r="Q61" t="s">
        <v>261</v>
      </c>
      <c r="R61" t="s">
        <v>261</v>
      </c>
      <c r="S61" t="s">
        <v>261</v>
      </c>
      <c r="T61" t="s">
        <v>261</v>
      </c>
      <c r="U61" t="s">
        <v>261</v>
      </c>
      <c r="V61" t="s">
        <v>261</v>
      </c>
      <c r="W61" t="s">
        <v>261</v>
      </c>
    </row>
    <row r="62" spans="1:23">
      <c r="A62">
        <f t="shared" si="1"/>
        <v>61</v>
      </c>
      <c r="B62" s="10" t="s">
        <v>342</v>
      </c>
      <c r="C62" s="6">
        <v>44308</v>
      </c>
      <c r="D62" t="s">
        <v>343</v>
      </c>
      <c r="E62" t="s">
        <v>344</v>
      </c>
      <c r="F62" t="s">
        <v>345</v>
      </c>
      <c r="G62" t="s">
        <v>18</v>
      </c>
      <c r="H62">
        <v>1</v>
      </c>
      <c r="I62" s="8">
        <v>684.76</v>
      </c>
      <c r="J62" s="8">
        <f t="shared" si="0"/>
        <v>684.76</v>
      </c>
      <c r="K62" t="s">
        <v>346</v>
      </c>
      <c r="L62" t="s">
        <v>403</v>
      </c>
      <c r="M62" t="s">
        <v>261</v>
      </c>
      <c r="N62" t="s">
        <v>261</v>
      </c>
      <c r="O62" t="s">
        <v>261</v>
      </c>
      <c r="P62" t="s">
        <v>261</v>
      </c>
      <c r="Q62" t="s">
        <v>261</v>
      </c>
      <c r="R62" t="s">
        <v>261</v>
      </c>
      <c r="S62" t="s">
        <v>261</v>
      </c>
      <c r="T62" t="s">
        <v>261</v>
      </c>
      <c r="U62" t="s">
        <v>261</v>
      </c>
      <c r="V62" t="s">
        <v>261</v>
      </c>
      <c r="W62" t="s">
        <v>261</v>
      </c>
    </row>
    <row r="63" spans="1:23">
      <c r="A63">
        <f t="shared" si="1"/>
        <v>62</v>
      </c>
      <c r="B63" s="10" t="s">
        <v>347</v>
      </c>
      <c r="C63" s="6">
        <v>44308</v>
      </c>
      <c r="D63" t="s">
        <v>348</v>
      </c>
      <c r="E63" t="s">
        <v>349</v>
      </c>
      <c r="F63" t="s">
        <v>350</v>
      </c>
      <c r="G63" t="s">
        <v>18</v>
      </c>
      <c r="H63">
        <v>1</v>
      </c>
      <c r="I63" s="8">
        <v>1225.5</v>
      </c>
      <c r="J63" s="8">
        <f t="shared" si="0"/>
        <v>1225.5</v>
      </c>
      <c r="K63" t="s">
        <v>351</v>
      </c>
      <c r="L63" t="s">
        <v>402</v>
      </c>
      <c r="M63" t="s">
        <v>261</v>
      </c>
      <c r="N63" t="s">
        <v>261</v>
      </c>
      <c r="O63" t="s">
        <v>261</v>
      </c>
      <c r="P63" t="s">
        <v>261</v>
      </c>
      <c r="Q63" t="s">
        <v>261</v>
      </c>
      <c r="R63" t="s">
        <v>261</v>
      </c>
      <c r="S63" t="s">
        <v>261</v>
      </c>
      <c r="T63" t="s">
        <v>261</v>
      </c>
      <c r="U63" t="s">
        <v>261</v>
      </c>
      <c r="V63" t="s">
        <v>261</v>
      </c>
      <c r="W63" t="s">
        <v>261</v>
      </c>
    </row>
    <row r="64" spans="1:23">
      <c r="A64">
        <f t="shared" si="1"/>
        <v>63</v>
      </c>
      <c r="B64" s="101" t="s">
        <v>352</v>
      </c>
      <c r="C64" s="6">
        <v>44312</v>
      </c>
      <c r="D64" t="s">
        <v>353</v>
      </c>
      <c r="E64" t="s">
        <v>354</v>
      </c>
      <c r="F64" t="s">
        <v>355</v>
      </c>
      <c r="G64" t="s">
        <v>18</v>
      </c>
      <c r="H64">
        <v>1</v>
      </c>
      <c r="I64" s="8">
        <v>615</v>
      </c>
      <c r="J64" s="8">
        <f t="shared" si="0"/>
        <v>615</v>
      </c>
      <c r="K64" t="s">
        <v>356</v>
      </c>
      <c r="L64" t="s">
        <v>403</v>
      </c>
      <c r="M64" t="s">
        <v>261</v>
      </c>
      <c r="N64" t="s">
        <v>261</v>
      </c>
      <c r="O64" t="s">
        <v>261</v>
      </c>
      <c r="P64" t="s">
        <v>261</v>
      </c>
      <c r="Q64" t="s">
        <v>261</v>
      </c>
      <c r="R64" t="s">
        <v>261</v>
      </c>
      <c r="S64" t="s">
        <v>261</v>
      </c>
      <c r="T64" t="s">
        <v>261</v>
      </c>
      <c r="U64" t="s">
        <v>261</v>
      </c>
      <c r="V64" t="s">
        <v>261</v>
      </c>
      <c r="W64" t="s">
        <v>261</v>
      </c>
    </row>
    <row r="65" spans="1:23">
      <c r="A65">
        <f t="shared" si="1"/>
        <v>64</v>
      </c>
      <c r="B65" s="10" t="s">
        <v>357</v>
      </c>
      <c r="C65" s="6">
        <v>44313</v>
      </c>
      <c r="D65" t="s">
        <v>358</v>
      </c>
      <c r="E65" t="s">
        <v>359</v>
      </c>
      <c r="F65" t="s">
        <v>360</v>
      </c>
      <c r="G65" t="s">
        <v>18</v>
      </c>
      <c r="H65">
        <v>1</v>
      </c>
      <c r="I65" s="8">
        <v>1887.7</v>
      </c>
      <c r="J65" s="8">
        <f t="shared" si="0"/>
        <v>1887.7</v>
      </c>
      <c r="K65" t="s">
        <v>175</v>
      </c>
      <c r="L65" t="s">
        <v>403</v>
      </c>
      <c r="M65" t="s">
        <v>261</v>
      </c>
      <c r="N65" t="s">
        <v>261</v>
      </c>
      <c r="O65" t="s">
        <v>261</v>
      </c>
      <c r="P65" t="s">
        <v>261</v>
      </c>
      <c r="Q65" t="s">
        <v>261</v>
      </c>
      <c r="R65" t="s">
        <v>261</v>
      </c>
      <c r="S65" t="s">
        <v>261</v>
      </c>
      <c r="T65" t="s">
        <v>261</v>
      </c>
      <c r="U65" t="s">
        <v>261</v>
      </c>
      <c r="V65" t="s">
        <v>261</v>
      </c>
      <c r="W65" t="s">
        <v>261</v>
      </c>
    </row>
    <row r="66" spans="1:23">
      <c r="A66" s="12">
        <f t="shared" si="1"/>
        <v>65</v>
      </c>
      <c r="B66" s="10" t="s">
        <v>365</v>
      </c>
      <c r="C66" s="6">
        <v>44309</v>
      </c>
      <c r="D66" t="s">
        <v>361</v>
      </c>
      <c r="E66" t="s">
        <v>362</v>
      </c>
      <c r="F66" t="s">
        <v>369</v>
      </c>
      <c r="G66" t="s">
        <v>18</v>
      </c>
      <c r="H66">
        <v>2</v>
      </c>
      <c r="I66" s="8">
        <v>2900</v>
      </c>
      <c r="J66" s="8">
        <f t="shared" ref="J66:J119" si="2">+I66/H66</f>
        <v>1450</v>
      </c>
      <c r="K66" t="s">
        <v>363</v>
      </c>
      <c r="L66" t="s">
        <v>364</v>
      </c>
      <c r="M66" t="s">
        <v>261</v>
      </c>
      <c r="N66" t="s">
        <v>261</v>
      </c>
      <c r="O66" t="s">
        <v>261</v>
      </c>
      <c r="P66" t="s">
        <v>261</v>
      </c>
      <c r="Q66" t="s">
        <v>261</v>
      </c>
      <c r="R66" t="s">
        <v>261</v>
      </c>
      <c r="S66" t="s">
        <v>261</v>
      </c>
      <c r="T66" t="s">
        <v>261</v>
      </c>
      <c r="U66" t="s">
        <v>261</v>
      </c>
      <c r="V66" t="s">
        <v>261</v>
      </c>
      <c r="W66" t="s">
        <v>261</v>
      </c>
    </row>
    <row r="67" spans="1:23">
      <c r="A67">
        <f t="shared" si="1"/>
        <v>66</v>
      </c>
      <c r="B67" s="10" t="s">
        <v>366</v>
      </c>
      <c r="C67" s="6">
        <v>44315</v>
      </c>
      <c r="D67" t="s">
        <v>2439</v>
      </c>
      <c r="E67" t="s">
        <v>368</v>
      </c>
      <c r="F67" s="16" t="s">
        <v>370</v>
      </c>
      <c r="G67" t="s">
        <v>18</v>
      </c>
      <c r="H67">
        <v>1</v>
      </c>
      <c r="I67" s="8">
        <v>963</v>
      </c>
      <c r="J67" s="8">
        <f t="shared" si="2"/>
        <v>963</v>
      </c>
      <c r="K67" t="s">
        <v>371</v>
      </c>
      <c r="L67" t="s">
        <v>404</v>
      </c>
      <c r="M67" t="s">
        <v>261</v>
      </c>
      <c r="N67" t="s">
        <v>261</v>
      </c>
      <c r="O67" t="s">
        <v>261</v>
      </c>
      <c r="P67" t="s">
        <v>261</v>
      </c>
      <c r="Q67" t="s">
        <v>261</v>
      </c>
      <c r="R67" t="s">
        <v>261</v>
      </c>
      <c r="S67" t="s">
        <v>261</v>
      </c>
      <c r="T67" t="s">
        <v>261</v>
      </c>
      <c r="U67" t="s">
        <v>261</v>
      </c>
      <c r="V67" t="s">
        <v>261</v>
      </c>
      <c r="W67" t="s">
        <v>261</v>
      </c>
    </row>
    <row r="68" spans="1:23">
      <c r="A68" s="12">
        <f t="shared" ref="A68:A131" si="3">+A67+1</f>
        <v>67</v>
      </c>
      <c r="B68" s="10" t="s">
        <v>2179</v>
      </c>
      <c r="C68" s="6">
        <v>44315</v>
      </c>
      <c r="D68" t="s">
        <v>372</v>
      </c>
      <c r="E68" t="s">
        <v>373</v>
      </c>
      <c r="F68" t="s">
        <v>374</v>
      </c>
      <c r="G68" t="s">
        <v>18</v>
      </c>
      <c r="H68">
        <v>2</v>
      </c>
      <c r="I68" s="8">
        <v>2138.1999999999998</v>
      </c>
      <c r="J68" s="8">
        <f t="shared" si="2"/>
        <v>1069.0999999999999</v>
      </c>
      <c r="K68" t="s">
        <v>2180</v>
      </c>
      <c r="L68" t="s">
        <v>421</v>
      </c>
      <c r="M68" t="s">
        <v>261</v>
      </c>
      <c r="N68" t="s">
        <v>261</v>
      </c>
      <c r="O68" t="s">
        <v>261</v>
      </c>
      <c r="P68" t="s">
        <v>261</v>
      </c>
      <c r="Q68" t="s">
        <v>261</v>
      </c>
      <c r="R68" t="s">
        <v>261</v>
      </c>
      <c r="S68" t="s">
        <v>261</v>
      </c>
      <c r="T68" t="s">
        <v>261</v>
      </c>
      <c r="U68" t="s">
        <v>261</v>
      </c>
      <c r="V68" t="s">
        <v>261</v>
      </c>
      <c r="W68" t="s">
        <v>261</v>
      </c>
    </row>
    <row r="69" spans="1:23">
      <c r="A69">
        <f t="shared" si="3"/>
        <v>68</v>
      </c>
      <c r="B69" s="10" t="s">
        <v>376</v>
      </c>
      <c r="C69" s="6">
        <v>44315</v>
      </c>
      <c r="D69" t="s">
        <v>377</v>
      </c>
      <c r="E69" t="s">
        <v>378</v>
      </c>
      <c r="F69" t="s">
        <v>379</v>
      </c>
      <c r="G69" t="s">
        <v>18</v>
      </c>
      <c r="H69">
        <v>1</v>
      </c>
      <c r="I69" s="8">
        <v>3042.04</v>
      </c>
      <c r="J69" s="8">
        <f t="shared" si="2"/>
        <v>3042.04</v>
      </c>
      <c r="K69" t="s">
        <v>380</v>
      </c>
      <c r="L69" t="s">
        <v>415</v>
      </c>
      <c r="M69" t="s">
        <v>261</v>
      </c>
      <c r="N69" t="s">
        <v>261</v>
      </c>
      <c r="O69" t="s">
        <v>261</v>
      </c>
      <c r="P69" t="s">
        <v>261</v>
      </c>
      <c r="Q69" t="s">
        <v>261</v>
      </c>
      <c r="R69" t="s">
        <v>261</v>
      </c>
      <c r="S69" t="s">
        <v>261</v>
      </c>
      <c r="T69" t="s">
        <v>261</v>
      </c>
      <c r="U69" t="s">
        <v>261</v>
      </c>
      <c r="V69" t="s">
        <v>261</v>
      </c>
      <c r="W69" t="s">
        <v>261</v>
      </c>
    </row>
    <row r="70" spans="1:23">
      <c r="A70">
        <f t="shared" si="3"/>
        <v>69</v>
      </c>
      <c r="B70" s="10" t="s">
        <v>381</v>
      </c>
      <c r="C70" s="6">
        <v>44316</v>
      </c>
      <c r="D70" t="s">
        <v>382</v>
      </c>
      <c r="E70" t="s">
        <v>383</v>
      </c>
      <c r="F70" t="s">
        <v>384</v>
      </c>
      <c r="G70" t="s">
        <v>18</v>
      </c>
      <c r="H70">
        <v>1</v>
      </c>
      <c r="I70" s="8">
        <v>1349.95</v>
      </c>
      <c r="J70" s="8">
        <f t="shared" si="2"/>
        <v>1349.95</v>
      </c>
      <c r="K70" t="s">
        <v>385</v>
      </c>
      <c r="L70" t="s">
        <v>392</v>
      </c>
      <c r="M70" t="s">
        <v>261</v>
      </c>
      <c r="N70" t="s">
        <v>261</v>
      </c>
      <c r="O70" t="s">
        <v>261</v>
      </c>
      <c r="P70" t="s">
        <v>261</v>
      </c>
      <c r="Q70" t="s">
        <v>261</v>
      </c>
      <c r="R70" t="s">
        <v>261</v>
      </c>
      <c r="S70" t="s">
        <v>261</v>
      </c>
      <c r="T70" t="s">
        <v>261</v>
      </c>
      <c r="U70" t="s">
        <v>261</v>
      </c>
      <c r="V70" t="s">
        <v>261</v>
      </c>
      <c r="W70" t="s">
        <v>261</v>
      </c>
    </row>
    <row r="71" spans="1:23">
      <c r="A71">
        <f t="shared" si="3"/>
        <v>70</v>
      </c>
      <c r="B71" s="10" t="s">
        <v>386</v>
      </c>
      <c r="C71" s="6">
        <v>44316</v>
      </c>
      <c r="D71" t="s">
        <v>387</v>
      </c>
      <c r="E71" t="s">
        <v>388</v>
      </c>
      <c r="F71" t="s">
        <v>389</v>
      </c>
      <c r="G71" t="s">
        <v>18</v>
      </c>
      <c r="H71">
        <v>1</v>
      </c>
      <c r="I71" s="8">
        <v>1022.2</v>
      </c>
      <c r="J71" s="8">
        <f t="shared" si="2"/>
        <v>1022.2</v>
      </c>
      <c r="K71" t="s">
        <v>390</v>
      </c>
      <c r="L71" t="s">
        <v>391</v>
      </c>
      <c r="M71" t="s">
        <v>261</v>
      </c>
      <c r="N71" t="s">
        <v>261</v>
      </c>
      <c r="O71" t="s">
        <v>261</v>
      </c>
      <c r="P71" t="s">
        <v>261</v>
      </c>
      <c r="Q71" t="s">
        <v>261</v>
      </c>
      <c r="R71" t="s">
        <v>261</v>
      </c>
      <c r="S71" t="s">
        <v>261</v>
      </c>
      <c r="T71" t="s">
        <v>261</v>
      </c>
      <c r="U71" t="s">
        <v>261</v>
      </c>
      <c r="V71" t="s">
        <v>261</v>
      </c>
      <c r="W71" t="s">
        <v>261</v>
      </c>
    </row>
    <row r="72" spans="1:23">
      <c r="A72">
        <f t="shared" si="3"/>
        <v>71</v>
      </c>
      <c r="B72" s="10" t="s">
        <v>396</v>
      </c>
      <c r="C72" s="6">
        <v>44322</v>
      </c>
      <c r="D72" t="s">
        <v>397</v>
      </c>
      <c r="E72" t="s">
        <v>398</v>
      </c>
      <c r="F72" t="s">
        <v>399</v>
      </c>
      <c r="G72" t="s">
        <v>18</v>
      </c>
      <c r="H72">
        <v>1</v>
      </c>
      <c r="I72" s="8">
        <v>1520.76</v>
      </c>
      <c r="J72" s="8">
        <f t="shared" si="2"/>
        <v>1520.76</v>
      </c>
      <c r="K72" t="s">
        <v>400</v>
      </c>
      <c r="L72" t="s">
        <v>401</v>
      </c>
      <c r="M72" t="s">
        <v>261</v>
      </c>
      <c r="N72" t="s">
        <v>261</v>
      </c>
      <c r="O72" t="s">
        <v>261</v>
      </c>
      <c r="P72" t="s">
        <v>261</v>
      </c>
      <c r="Q72" t="s">
        <v>261</v>
      </c>
      <c r="R72" t="s">
        <v>261</v>
      </c>
      <c r="S72" t="s">
        <v>261</v>
      </c>
      <c r="T72" t="s">
        <v>261</v>
      </c>
      <c r="U72" t="s">
        <v>261</v>
      </c>
      <c r="V72" t="s">
        <v>261</v>
      </c>
    </row>
    <row r="73" spans="1:23">
      <c r="A73">
        <f t="shared" si="3"/>
        <v>72</v>
      </c>
      <c r="B73" s="10" t="s">
        <v>405</v>
      </c>
      <c r="C73" s="6">
        <v>44323</v>
      </c>
      <c r="D73" t="s">
        <v>406</v>
      </c>
      <c r="E73" t="s">
        <v>407</v>
      </c>
      <c r="F73" t="s">
        <v>408</v>
      </c>
      <c r="G73" t="s">
        <v>18</v>
      </c>
      <c r="H73">
        <v>1</v>
      </c>
      <c r="I73" s="8">
        <v>1168.5</v>
      </c>
      <c r="J73" s="8">
        <f t="shared" si="2"/>
        <v>1168.5</v>
      </c>
      <c r="K73" t="s">
        <v>409</v>
      </c>
      <c r="L73" t="s">
        <v>440</v>
      </c>
      <c r="M73" t="s">
        <v>261</v>
      </c>
      <c r="N73" t="s">
        <v>261</v>
      </c>
      <c r="O73" t="s">
        <v>261</v>
      </c>
      <c r="P73" t="s">
        <v>261</v>
      </c>
      <c r="Q73" t="s">
        <v>261</v>
      </c>
      <c r="R73" t="s">
        <v>261</v>
      </c>
      <c r="S73" t="s">
        <v>261</v>
      </c>
      <c r="T73" t="s">
        <v>261</v>
      </c>
      <c r="U73" t="s">
        <v>261</v>
      </c>
      <c r="V73" t="s">
        <v>261</v>
      </c>
    </row>
    <row r="74" spans="1:23">
      <c r="A74">
        <f t="shared" si="3"/>
        <v>73</v>
      </c>
      <c r="B74" s="10" t="s">
        <v>410</v>
      </c>
      <c r="C74" s="6">
        <v>44324</v>
      </c>
      <c r="D74" t="s">
        <v>411</v>
      </c>
      <c r="E74" t="s">
        <v>412</v>
      </c>
      <c r="F74" t="s">
        <v>413</v>
      </c>
      <c r="G74" t="s">
        <v>18</v>
      </c>
      <c r="H74">
        <v>1</v>
      </c>
      <c r="I74" s="8">
        <v>1269.2</v>
      </c>
      <c r="J74" s="8">
        <f t="shared" si="2"/>
        <v>1269.2</v>
      </c>
      <c r="K74" t="s">
        <v>414</v>
      </c>
      <c r="L74" t="s">
        <v>281</v>
      </c>
      <c r="M74" t="s">
        <v>261</v>
      </c>
      <c r="N74" t="s">
        <v>261</v>
      </c>
      <c r="O74" t="s">
        <v>261</v>
      </c>
      <c r="P74" t="s">
        <v>261</v>
      </c>
      <c r="Q74" t="s">
        <v>261</v>
      </c>
      <c r="R74" t="s">
        <v>261</v>
      </c>
      <c r="S74" t="s">
        <v>261</v>
      </c>
      <c r="T74" t="s">
        <v>261</v>
      </c>
      <c r="U74" t="s">
        <v>261</v>
      </c>
      <c r="V74" t="s">
        <v>261</v>
      </c>
    </row>
    <row r="75" spans="1:23">
      <c r="A75">
        <f t="shared" si="3"/>
        <v>74</v>
      </c>
      <c r="B75" s="10" t="s">
        <v>416</v>
      </c>
      <c r="C75" s="6">
        <v>44326</v>
      </c>
      <c r="D75" t="s">
        <v>417</v>
      </c>
      <c r="E75" t="s">
        <v>418</v>
      </c>
      <c r="F75" t="s">
        <v>419</v>
      </c>
      <c r="G75" t="s">
        <v>63</v>
      </c>
      <c r="H75">
        <v>1</v>
      </c>
      <c r="I75" s="8">
        <v>1125</v>
      </c>
      <c r="J75" s="8">
        <f t="shared" si="2"/>
        <v>1125</v>
      </c>
      <c r="K75" t="s">
        <v>420</v>
      </c>
      <c r="L75" t="s">
        <v>20</v>
      </c>
      <c r="M75" t="s">
        <v>261</v>
      </c>
      <c r="N75" t="s">
        <v>261</v>
      </c>
      <c r="O75" t="s">
        <v>261</v>
      </c>
      <c r="P75" t="s">
        <v>261</v>
      </c>
      <c r="Q75" t="s">
        <v>261</v>
      </c>
      <c r="R75" t="s">
        <v>261</v>
      </c>
      <c r="S75" t="s">
        <v>261</v>
      </c>
      <c r="T75" t="s">
        <v>261</v>
      </c>
      <c r="U75" t="s">
        <v>261</v>
      </c>
      <c r="V75" t="s">
        <v>261</v>
      </c>
    </row>
    <row r="76" spans="1:23">
      <c r="A76">
        <f t="shared" si="3"/>
        <v>75</v>
      </c>
      <c r="B76" s="10" t="s">
        <v>422</v>
      </c>
      <c r="C76" s="6">
        <v>44326</v>
      </c>
      <c r="D76" t="s">
        <v>423</v>
      </c>
      <c r="E76" t="s">
        <v>424</v>
      </c>
      <c r="F76" t="s">
        <v>425</v>
      </c>
      <c r="G76" t="s">
        <v>18</v>
      </c>
      <c r="H76">
        <v>1</v>
      </c>
      <c r="I76" s="8">
        <v>1609.2</v>
      </c>
      <c r="J76" s="8">
        <f t="shared" si="2"/>
        <v>1609.2</v>
      </c>
      <c r="K76" t="s">
        <v>426</v>
      </c>
      <c r="L76" t="s">
        <v>432</v>
      </c>
      <c r="M76" t="s">
        <v>261</v>
      </c>
      <c r="N76" t="s">
        <v>261</v>
      </c>
      <c r="O76" t="s">
        <v>261</v>
      </c>
      <c r="P76" t="s">
        <v>261</v>
      </c>
      <c r="Q76" t="s">
        <v>261</v>
      </c>
      <c r="R76" t="s">
        <v>261</v>
      </c>
      <c r="S76" t="s">
        <v>261</v>
      </c>
      <c r="T76" t="s">
        <v>261</v>
      </c>
      <c r="U76" t="s">
        <v>261</v>
      </c>
      <c r="V76" t="s">
        <v>261</v>
      </c>
    </row>
    <row r="77" spans="1:23">
      <c r="A77">
        <f t="shared" si="3"/>
        <v>76</v>
      </c>
      <c r="B77" s="10" t="s">
        <v>427</v>
      </c>
      <c r="C77" s="6">
        <v>44327</v>
      </c>
      <c r="D77" t="s">
        <v>428</v>
      </c>
      <c r="E77" t="s">
        <v>429</v>
      </c>
      <c r="F77" t="s">
        <v>430</v>
      </c>
      <c r="G77" t="s">
        <v>18</v>
      </c>
      <c r="H77">
        <v>1</v>
      </c>
      <c r="I77" s="8">
        <v>669.75</v>
      </c>
      <c r="J77" s="8">
        <f t="shared" si="2"/>
        <v>669.75</v>
      </c>
      <c r="K77" t="s">
        <v>431</v>
      </c>
      <c r="L77" t="s">
        <v>439</v>
      </c>
      <c r="M77" t="s">
        <v>261</v>
      </c>
      <c r="N77" t="s">
        <v>261</v>
      </c>
      <c r="O77" t="s">
        <v>261</v>
      </c>
      <c r="P77" t="s">
        <v>261</v>
      </c>
      <c r="Q77" t="s">
        <v>261</v>
      </c>
      <c r="R77" t="s">
        <v>261</v>
      </c>
      <c r="S77" t="s">
        <v>261</v>
      </c>
      <c r="T77" t="s">
        <v>261</v>
      </c>
      <c r="U77" t="s">
        <v>261</v>
      </c>
      <c r="V77" t="s">
        <v>261</v>
      </c>
    </row>
    <row r="78" spans="1:23">
      <c r="A78">
        <f t="shared" si="3"/>
        <v>77</v>
      </c>
      <c r="B78" s="10" t="s">
        <v>433</v>
      </c>
      <c r="C78" s="6">
        <v>44328</v>
      </c>
      <c r="D78" t="s">
        <v>434</v>
      </c>
      <c r="E78" t="s">
        <v>435</v>
      </c>
      <c r="F78" s="16" t="s">
        <v>436</v>
      </c>
      <c r="G78" t="s">
        <v>18</v>
      </c>
      <c r="H78">
        <v>1</v>
      </c>
      <c r="I78" s="8">
        <v>982.8</v>
      </c>
      <c r="J78" s="8">
        <f t="shared" si="2"/>
        <v>982.8</v>
      </c>
      <c r="K78" t="s">
        <v>437</v>
      </c>
      <c r="L78" t="s">
        <v>438</v>
      </c>
      <c r="M78" t="s">
        <v>261</v>
      </c>
      <c r="N78" t="s">
        <v>261</v>
      </c>
      <c r="O78" t="s">
        <v>261</v>
      </c>
      <c r="P78" t="s">
        <v>261</v>
      </c>
      <c r="Q78" t="s">
        <v>261</v>
      </c>
      <c r="R78" t="s">
        <v>261</v>
      </c>
      <c r="S78" t="s">
        <v>261</v>
      </c>
      <c r="T78" t="s">
        <v>261</v>
      </c>
      <c r="U78" t="s">
        <v>261</v>
      </c>
      <c r="V78" t="s">
        <v>261</v>
      </c>
    </row>
    <row r="79" spans="1:23">
      <c r="A79">
        <f t="shared" si="3"/>
        <v>78</v>
      </c>
      <c r="B79" s="10" t="s">
        <v>441</v>
      </c>
      <c r="C79" s="6">
        <v>44330</v>
      </c>
      <c r="D79" t="s">
        <v>442</v>
      </c>
      <c r="E79" t="s">
        <v>443</v>
      </c>
      <c r="F79" t="s">
        <v>444</v>
      </c>
      <c r="G79" t="s">
        <v>18</v>
      </c>
      <c r="H79">
        <v>1</v>
      </c>
      <c r="I79" s="8">
        <v>1225.8</v>
      </c>
      <c r="J79" s="8">
        <f t="shared" si="2"/>
        <v>1225.8</v>
      </c>
      <c r="K79" t="s">
        <v>445</v>
      </c>
      <c r="L79" t="s">
        <v>536</v>
      </c>
      <c r="M79" t="s">
        <v>261</v>
      </c>
      <c r="N79" t="s">
        <v>261</v>
      </c>
      <c r="O79" t="s">
        <v>261</v>
      </c>
      <c r="P79" t="s">
        <v>261</v>
      </c>
      <c r="Q79" t="s">
        <v>261</v>
      </c>
      <c r="R79" t="s">
        <v>261</v>
      </c>
      <c r="S79" t="s">
        <v>261</v>
      </c>
      <c r="T79" t="s">
        <v>261</v>
      </c>
      <c r="U79" t="s">
        <v>261</v>
      </c>
      <c r="V79" t="s">
        <v>261</v>
      </c>
    </row>
    <row r="80" spans="1:23">
      <c r="A80">
        <f t="shared" si="3"/>
        <v>79</v>
      </c>
      <c r="B80" s="10" t="s">
        <v>448</v>
      </c>
      <c r="C80" s="6">
        <v>44331</v>
      </c>
      <c r="D80" t="s">
        <v>449</v>
      </c>
      <c r="E80" t="s">
        <v>450</v>
      </c>
      <c r="F80" s="11" t="s">
        <v>451</v>
      </c>
      <c r="G80" t="s">
        <v>18</v>
      </c>
      <c r="H80">
        <v>1</v>
      </c>
      <c r="I80" s="8">
        <v>2466.9</v>
      </c>
      <c r="J80" s="8">
        <f t="shared" si="2"/>
        <v>2466.9</v>
      </c>
      <c r="K80" t="s">
        <v>452</v>
      </c>
      <c r="L80" t="s">
        <v>453</v>
      </c>
      <c r="M80" t="s">
        <v>261</v>
      </c>
      <c r="N80" t="s">
        <v>261</v>
      </c>
      <c r="O80" t="s">
        <v>261</v>
      </c>
      <c r="P80" t="s">
        <v>261</v>
      </c>
      <c r="Q80" t="s">
        <v>261</v>
      </c>
      <c r="R80" t="s">
        <v>261</v>
      </c>
      <c r="S80" t="s">
        <v>261</v>
      </c>
      <c r="T80" t="s">
        <v>261</v>
      </c>
      <c r="U80" t="s">
        <v>261</v>
      </c>
      <c r="V80" t="s">
        <v>261</v>
      </c>
    </row>
    <row r="81" spans="1:22">
      <c r="A81">
        <f t="shared" si="3"/>
        <v>80</v>
      </c>
      <c r="B81" s="10" t="s">
        <v>454</v>
      </c>
      <c r="C81" s="6">
        <v>44322</v>
      </c>
      <c r="D81" t="s">
        <v>455</v>
      </c>
      <c r="E81" t="s">
        <v>456</v>
      </c>
      <c r="F81" t="s">
        <v>457</v>
      </c>
      <c r="G81" t="s">
        <v>18</v>
      </c>
      <c r="H81">
        <v>1</v>
      </c>
      <c r="I81" s="8">
        <v>1118.3399999999999</v>
      </c>
      <c r="J81" s="8">
        <f t="shared" si="2"/>
        <v>1118.3399999999999</v>
      </c>
      <c r="K81" t="s">
        <v>458</v>
      </c>
      <c r="L81" t="s">
        <v>403</v>
      </c>
      <c r="M81" t="s">
        <v>261</v>
      </c>
      <c r="N81" t="s">
        <v>261</v>
      </c>
      <c r="O81" t="s">
        <v>261</v>
      </c>
      <c r="P81" t="s">
        <v>261</v>
      </c>
      <c r="Q81" t="s">
        <v>261</v>
      </c>
      <c r="R81" t="s">
        <v>261</v>
      </c>
      <c r="S81" t="s">
        <v>261</v>
      </c>
      <c r="T81" t="s">
        <v>261</v>
      </c>
      <c r="U81" t="s">
        <v>261</v>
      </c>
      <c r="V81" t="s">
        <v>261</v>
      </c>
    </row>
    <row r="82" spans="1:22">
      <c r="A82">
        <f t="shared" si="3"/>
        <v>81</v>
      </c>
      <c r="B82" s="10" t="s">
        <v>459</v>
      </c>
      <c r="C82" s="6">
        <v>44329</v>
      </c>
      <c r="D82" t="s">
        <v>460</v>
      </c>
      <c r="E82" t="s">
        <v>461</v>
      </c>
      <c r="F82" t="s">
        <v>462</v>
      </c>
      <c r="G82" t="s">
        <v>18</v>
      </c>
      <c r="H82">
        <v>1</v>
      </c>
      <c r="I82" s="8">
        <v>1234.6400000000001</v>
      </c>
      <c r="J82" s="8">
        <f t="shared" si="2"/>
        <v>1234.6400000000001</v>
      </c>
      <c r="K82" t="s">
        <v>463</v>
      </c>
      <c r="L82" t="s">
        <v>403</v>
      </c>
      <c r="M82" t="s">
        <v>261</v>
      </c>
      <c r="N82" t="s">
        <v>261</v>
      </c>
      <c r="O82" t="s">
        <v>261</v>
      </c>
      <c r="P82" t="s">
        <v>261</v>
      </c>
      <c r="Q82" t="s">
        <v>261</v>
      </c>
      <c r="R82" t="s">
        <v>261</v>
      </c>
      <c r="S82" t="s">
        <v>261</v>
      </c>
      <c r="T82" t="s">
        <v>261</v>
      </c>
      <c r="U82" t="s">
        <v>261</v>
      </c>
      <c r="V82" t="s">
        <v>261</v>
      </c>
    </row>
    <row r="83" spans="1:22">
      <c r="A83">
        <f t="shared" si="3"/>
        <v>82</v>
      </c>
      <c r="B83" s="10" t="s">
        <v>464</v>
      </c>
      <c r="C83" s="6">
        <v>44329</v>
      </c>
      <c r="D83" t="s">
        <v>465</v>
      </c>
      <c r="E83" t="s">
        <v>466</v>
      </c>
      <c r="F83" t="s">
        <v>467</v>
      </c>
      <c r="G83" t="s">
        <v>18</v>
      </c>
      <c r="H83">
        <v>1</v>
      </c>
      <c r="I83" s="8">
        <v>1556.7</v>
      </c>
      <c r="J83" s="8">
        <f t="shared" si="2"/>
        <v>1556.7</v>
      </c>
      <c r="K83" t="s">
        <v>468</v>
      </c>
      <c r="L83" t="s">
        <v>469</v>
      </c>
      <c r="M83" t="s">
        <v>261</v>
      </c>
      <c r="N83" t="s">
        <v>261</v>
      </c>
      <c r="O83" t="s">
        <v>261</v>
      </c>
      <c r="P83" t="s">
        <v>261</v>
      </c>
      <c r="Q83" t="s">
        <v>261</v>
      </c>
      <c r="R83" t="s">
        <v>261</v>
      </c>
      <c r="S83" t="s">
        <v>261</v>
      </c>
      <c r="T83" t="s">
        <v>261</v>
      </c>
      <c r="U83" t="s">
        <v>261</v>
      </c>
      <c r="V83" t="s">
        <v>261</v>
      </c>
    </row>
    <row r="84" spans="1:22">
      <c r="A84">
        <f t="shared" si="3"/>
        <v>83</v>
      </c>
      <c r="B84" s="101" t="s">
        <v>470</v>
      </c>
      <c r="C84" s="6">
        <v>44333</v>
      </c>
      <c r="D84" t="s">
        <v>471</v>
      </c>
      <c r="E84" t="s">
        <v>472</v>
      </c>
      <c r="F84" t="s">
        <v>473</v>
      </c>
      <c r="G84" t="s">
        <v>18</v>
      </c>
      <c r="H84">
        <v>1</v>
      </c>
      <c r="I84" s="8">
        <v>1355.46</v>
      </c>
      <c r="J84" s="8">
        <f t="shared" si="2"/>
        <v>1355.46</v>
      </c>
      <c r="K84" t="s">
        <v>474</v>
      </c>
      <c r="L84" t="s">
        <v>475</v>
      </c>
      <c r="M84" t="s">
        <v>261</v>
      </c>
      <c r="N84" t="s">
        <v>261</v>
      </c>
      <c r="O84" t="s">
        <v>261</v>
      </c>
      <c r="P84" t="s">
        <v>261</v>
      </c>
      <c r="Q84" t="s">
        <v>261</v>
      </c>
      <c r="R84" t="s">
        <v>261</v>
      </c>
      <c r="S84" t="s">
        <v>261</v>
      </c>
      <c r="T84" t="s">
        <v>261</v>
      </c>
      <c r="U84" t="s">
        <v>261</v>
      </c>
      <c r="V84" t="s">
        <v>261</v>
      </c>
    </row>
    <row r="85" spans="1:22">
      <c r="A85">
        <f t="shared" si="3"/>
        <v>84</v>
      </c>
      <c r="B85" s="10" t="s">
        <v>476</v>
      </c>
      <c r="C85" s="6">
        <v>44319</v>
      </c>
      <c r="D85" t="s">
        <v>477</v>
      </c>
      <c r="E85" t="s">
        <v>478</v>
      </c>
      <c r="F85" t="s">
        <v>479</v>
      </c>
      <c r="G85" t="s">
        <v>18</v>
      </c>
      <c r="H85">
        <v>1</v>
      </c>
      <c r="I85" s="8">
        <v>1204.2</v>
      </c>
      <c r="J85" s="8">
        <f t="shared" si="2"/>
        <v>1204.2</v>
      </c>
      <c r="K85" t="s">
        <v>480</v>
      </c>
      <c r="L85" t="s">
        <v>323</v>
      </c>
      <c r="M85" t="s">
        <v>261</v>
      </c>
      <c r="N85" t="s">
        <v>261</v>
      </c>
      <c r="O85" t="s">
        <v>261</v>
      </c>
      <c r="P85" t="s">
        <v>261</v>
      </c>
      <c r="Q85" t="s">
        <v>261</v>
      </c>
      <c r="R85" t="s">
        <v>261</v>
      </c>
      <c r="S85" t="s">
        <v>261</v>
      </c>
      <c r="T85" t="s">
        <v>261</v>
      </c>
      <c r="U85" t="s">
        <v>261</v>
      </c>
      <c r="V85" t="s">
        <v>261</v>
      </c>
    </row>
    <row r="86" spans="1:22" hidden="1">
      <c r="A86">
        <f t="shared" si="3"/>
        <v>85</v>
      </c>
      <c r="O86" t="s">
        <v>261</v>
      </c>
      <c r="P86" t="s">
        <v>261</v>
      </c>
      <c r="Q86" t="s">
        <v>261</v>
      </c>
      <c r="R86" t="s">
        <v>261</v>
      </c>
      <c r="S86" t="s">
        <v>261</v>
      </c>
      <c r="T86" t="s">
        <v>261</v>
      </c>
      <c r="U86" t="s">
        <v>261</v>
      </c>
      <c r="V86" t="s">
        <v>261</v>
      </c>
    </row>
    <row r="87" spans="1:22" hidden="1">
      <c r="A87">
        <f t="shared" si="3"/>
        <v>86</v>
      </c>
      <c r="J87" s="8" t="e">
        <f t="shared" si="2"/>
        <v>#DIV/0!</v>
      </c>
      <c r="O87" t="s">
        <v>261</v>
      </c>
      <c r="P87" t="s">
        <v>261</v>
      </c>
      <c r="Q87" t="s">
        <v>261</v>
      </c>
      <c r="R87" t="s">
        <v>261</v>
      </c>
      <c r="S87" t="s">
        <v>261</v>
      </c>
      <c r="T87" t="s">
        <v>261</v>
      </c>
      <c r="U87" t="s">
        <v>261</v>
      </c>
      <c r="V87" t="s">
        <v>261</v>
      </c>
    </row>
    <row r="88" spans="1:22" hidden="1">
      <c r="A88">
        <f t="shared" si="3"/>
        <v>87</v>
      </c>
      <c r="J88" s="8" t="e">
        <f t="shared" si="2"/>
        <v>#DIV/0!</v>
      </c>
      <c r="O88" t="s">
        <v>261</v>
      </c>
      <c r="P88" t="s">
        <v>261</v>
      </c>
      <c r="Q88" t="s">
        <v>261</v>
      </c>
      <c r="R88" t="s">
        <v>261</v>
      </c>
      <c r="S88" t="s">
        <v>261</v>
      </c>
      <c r="T88" t="s">
        <v>261</v>
      </c>
      <c r="U88" t="s">
        <v>261</v>
      </c>
      <c r="V88" t="s">
        <v>261</v>
      </c>
    </row>
    <row r="89" spans="1:22">
      <c r="A89">
        <f t="shared" si="3"/>
        <v>88</v>
      </c>
      <c r="B89" s="10" t="s">
        <v>481</v>
      </c>
      <c r="C89" s="6">
        <v>44324</v>
      </c>
      <c r="D89" t="s">
        <v>482</v>
      </c>
      <c r="E89" t="s">
        <v>483</v>
      </c>
      <c r="F89" t="s">
        <v>484</v>
      </c>
      <c r="G89" t="s">
        <v>18</v>
      </c>
      <c r="H89">
        <v>1</v>
      </c>
      <c r="I89" s="8">
        <v>636.12</v>
      </c>
      <c r="J89" s="8">
        <f t="shared" si="2"/>
        <v>636.12</v>
      </c>
      <c r="K89" t="s">
        <v>485</v>
      </c>
      <c r="L89" t="s">
        <v>323</v>
      </c>
      <c r="M89" t="s">
        <v>261</v>
      </c>
      <c r="N89" t="s">
        <v>261</v>
      </c>
      <c r="O89" t="s">
        <v>261</v>
      </c>
      <c r="P89" t="s">
        <v>261</v>
      </c>
      <c r="Q89" t="s">
        <v>261</v>
      </c>
      <c r="R89" t="s">
        <v>261</v>
      </c>
      <c r="S89" t="s">
        <v>261</v>
      </c>
      <c r="T89" t="s">
        <v>261</v>
      </c>
      <c r="U89" t="s">
        <v>261</v>
      </c>
      <c r="V89" t="s">
        <v>261</v>
      </c>
    </row>
    <row r="90" spans="1:22">
      <c r="A90">
        <f t="shared" si="3"/>
        <v>89</v>
      </c>
      <c r="B90" s="101" t="s">
        <v>486</v>
      </c>
      <c r="C90" s="6">
        <v>44334</v>
      </c>
      <c r="D90" t="s">
        <v>487</v>
      </c>
      <c r="F90" t="s">
        <v>488</v>
      </c>
      <c r="G90" t="s">
        <v>18</v>
      </c>
      <c r="H90">
        <v>1</v>
      </c>
      <c r="I90" s="8">
        <v>2463.75</v>
      </c>
      <c r="J90" s="8">
        <f t="shared" si="2"/>
        <v>2463.75</v>
      </c>
      <c r="K90" t="s">
        <v>489</v>
      </c>
      <c r="L90" t="s">
        <v>490</v>
      </c>
      <c r="M90" t="s">
        <v>261</v>
      </c>
      <c r="N90" t="s">
        <v>261</v>
      </c>
      <c r="O90" t="s">
        <v>261</v>
      </c>
      <c r="P90" t="s">
        <v>261</v>
      </c>
      <c r="Q90" t="s">
        <v>261</v>
      </c>
      <c r="R90" t="s">
        <v>261</v>
      </c>
      <c r="S90" t="s">
        <v>261</v>
      </c>
      <c r="T90" t="s">
        <v>261</v>
      </c>
      <c r="U90" t="s">
        <v>261</v>
      </c>
      <c r="V90" t="s">
        <v>261</v>
      </c>
    </row>
    <row r="91" spans="1:22">
      <c r="A91">
        <f t="shared" si="3"/>
        <v>90</v>
      </c>
      <c r="B91" s="10" t="s">
        <v>491</v>
      </c>
      <c r="C91" s="6">
        <v>44334</v>
      </c>
      <c r="D91" t="s">
        <v>492</v>
      </c>
      <c r="E91" t="s">
        <v>493</v>
      </c>
      <c r="F91" t="s">
        <v>494</v>
      </c>
      <c r="G91" t="s">
        <v>18</v>
      </c>
      <c r="H91">
        <v>1</v>
      </c>
      <c r="I91" s="8">
        <v>600</v>
      </c>
      <c r="J91" s="8">
        <f t="shared" si="2"/>
        <v>600</v>
      </c>
      <c r="K91" t="s">
        <v>495</v>
      </c>
      <c r="L91" t="s">
        <v>537</v>
      </c>
      <c r="M91" t="s">
        <v>261</v>
      </c>
      <c r="N91" t="s">
        <v>261</v>
      </c>
      <c r="O91" t="s">
        <v>261</v>
      </c>
      <c r="P91" t="s">
        <v>261</v>
      </c>
      <c r="Q91" t="s">
        <v>261</v>
      </c>
      <c r="R91" t="s">
        <v>261</v>
      </c>
      <c r="S91" t="s">
        <v>261</v>
      </c>
      <c r="T91" t="s">
        <v>261</v>
      </c>
      <c r="U91" t="s">
        <v>261</v>
      </c>
      <c r="V91" t="s">
        <v>261</v>
      </c>
    </row>
    <row r="92" spans="1:22">
      <c r="A92" s="14">
        <f t="shared" si="3"/>
        <v>91</v>
      </c>
      <c r="B92" s="10" t="s">
        <v>496</v>
      </c>
      <c r="C92" s="6">
        <v>44335</v>
      </c>
      <c r="D92" t="s">
        <v>497</v>
      </c>
      <c r="E92" t="s">
        <v>498</v>
      </c>
      <c r="F92" t="s">
        <v>499</v>
      </c>
      <c r="G92" t="s">
        <v>18</v>
      </c>
      <c r="H92">
        <v>1</v>
      </c>
      <c r="I92" s="8">
        <v>1065</v>
      </c>
      <c r="J92" s="8">
        <f t="shared" si="2"/>
        <v>1065</v>
      </c>
      <c r="K92" t="s">
        <v>500</v>
      </c>
      <c r="L92" t="s">
        <v>520</v>
      </c>
      <c r="M92" t="s">
        <v>261</v>
      </c>
      <c r="N92" t="s">
        <v>261</v>
      </c>
      <c r="O92" t="s">
        <v>261</v>
      </c>
      <c r="P92" t="s">
        <v>261</v>
      </c>
      <c r="Q92" t="s">
        <v>261</v>
      </c>
      <c r="R92" t="s">
        <v>261</v>
      </c>
      <c r="S92" t="s">
        <v>261</v>
      </c>
      <c r="T92" t="s">
        <v>261</v>
      </c>
      <c r="U92" t="s">
        <v>261</v>
      </c>
      <c r="V92" t="s">
        <v>261</v>
      </c>
    </row>
    <row r="93" spans="1:22">
      <c r="A93">
        <f t="shared" si="3"/>
        <v>92</v>
      </c>
      <c r="B93" s="101" t="s">
        <v>501</v>
      </c>
      <c r="C93" s="6">
        <v>44335</v>
      </c>
      <c r="D93" t="s">
        <v>502</v>
      </c>
      <c r="E93" t="s">
        <v>503</v>
      </c>
      <c r="F93" t="s">
        <v>504</v>
      </c>
      <c r="G93" t="s">
        <v>18</v>
      </c>
      <c r="H93">
        <v>1</v>
      </c>
      <c r="I93" s="8">
        <v>1200</v>
      </c>
      <c r="J93" s="8">
        <f t="shared" si="2"/>
        <v>1200</v>
      </c>
      <c r="K93" t="s">
        <v>437</v>
      </c>
      <c r="L93" t="s">
        <v>403</v>
      </c>
      <c r="M93" t="s">
        <v>261</v>
      </c>
      <c r="N93" t="s">
        <v>261</v>
      </c>
      <c r="O93" t="s">
        <v>261</v>
      </c>
      <c r="P93" t="s">
        <v>261</v>
      </c>
      <c r="Q93" t="s">
        <v>261</v>
      </c>
      <c r="R93" t="s">
        <v>261</v>
      </c>
      <c r="S93" t="s">
        <v>261</v>
      </c>
      <c r="T93" t="s">
        <v>261</v>
      </c>
      <c r="U93" t="s">
        <v>261</v>
      </c>
      <c r="V93" t="s">
        <v>261</v>
      </c>
    </row>
    <row r="94" spans="1:22">
      <c r="A94">
        <f t="shared" si="3"/>
        <v>93</v>
      </c>
      <c r="B94" s="10" t="s">
        <v>505</v>
      </c>
      <c r="C94" s="6">
        <v>44320</v>
      </c>
      <c r="D94" t="s">
        <v>506</v>
      </c>
      <c r="E94" t="s">
        <v>507</v>
      </c>
      <c r="F94" t="s">
        <v>508</v>
      </c>
      <c r="G94" t="s">
        <v>18</v>
      </c>
      <c r="H94">
        <v>1</v>
      </c>
      <c r="I94" s="8">
        <v>1488.62</v>
      </c>
      <c r="J94" s="8">
        <f t="shared" si="2"/>
        <v>1488.62</v>
      </c>
      <c r="K94" t="s">
        <v>509</v>
      </c>
      <c r="L94" t="s">
        <v>403</v>
      </c>
      <c r="M94" t="s">
        <v>261</v>
      </c>
      <c r="N94" t="s">
        <v>261</v>
      </c>
      <c r="O94" t="s">
        <v>261</v>
      </c>
      <c r="P94" t="s">
        <v>261</v>
      </c>
      <c r="Q94" t="s">
        <v>261</v>
      </c>
      <c r="R94" t="s">
        <v>261</v>
      </c>
      <c r="S94" t="s">
        <v>261</v>
      </c>
      <c r="T94" t="s">
        <v>261</v>
      </c>
      <c r="U94" t="s">
        <v>261</v>
      </c>
      <c r="V94" t="s">
        <v>261</v>
      </c>
    </row>
    <row r="95" spans="1:22">
      <c r="A95">
        <f t="shared" si="3"/>
        <v>94</v>
      </c>
      <c r="B95" s="10" t="s">
        <v>510</v>
      </c>
      <c r="C95" s="6">
        <v>44336</v>
      </c>
      <c r="D95" t="s">
        <v>511</v>
      </c>
      <c r="E95" t="s">
        <v>512</v>
      </c>
      <c r="F95" t="s">
        <v>513</v>
      </c>
      <c r="G95" t="s">
        <v>18</v>
      </c>
      <c r="H95">
        <v>1</v>
      </c>
      <c r="I95" s="8">
        <v>1964.6</v>
      </c>
      <c r="J95" s="8">
        <f t="shared" si="2"/>
        <v>1964.6</v>
      </c>
      <c r="K95" t="s">
        <v>514</v>
      </c>
      <c r="L95" t="s">
        <v>403</v>
      </c>
      <c r="M95" t="s">
        <v>261</v>
      </c>
      <c r="N95" t="s">
        <v>261</v>
      </c>
      <c r="O95" t="s">
        <v>261</v>
      </c>
      <c r="P95" t="s">
        <v>261</v>
      </c>
      <c r="Q95" t="s">
        <v>261</v>
      </c>
      <c r="R95" t="s">
        <v>261</v>
      </c>
      <c r="S95" t="s">
        <v>261</v>
      </c>
      <c r="T95" t="s">
        <v>261</v>
      </c>
      <c r="U95" t="s">
        <v>261</v>
      </c>
      <c r="V95" t="s">
        <v>261</v>
      </c>
    </row>
    <row r="96" spans="1:22" ht="15.75" customHeight="1">
      <c r="A96" s="23">
        <f t="shared" si="3"/>
        <v>95</v>
      </c>
      <c r="B96" s="10" t="s">
        <v>2400</v>
      </c>
      <c r="C96" s="6">
        <v>44337</v>
      </c>
      <c r="D96" t="s">
        <v>515</v>
      </c>
      <c r="E96" t="s">
        <v>516</v>
      </c>
      <c r="F96" t="s">
        <v>517</v>
      </c>
      <c r="G96" t="s">
        <v>18</v>
      </c>
      <c r="H96">
        <v>4</v>
      </c>
      <c r="I96" s="8">
        <v>9566.33</v>
      </c>
      <c r="J96" s="8">
        <f t="shared" si="2"/>
        <v>2391.5825</v>
      </c>
      <c r="K96" t="s">
        <v>2401</v>
      </c>
      <c r="L96" t="s">
        <v>519</v>
      </c>
      <c r="M96" t="s">
        <v>261</v>
      </c>
      <c r="N96" t="s">
        <v>261</v>
      </c>
      <c r="O96" t="s">
        <v>261</v>
      </c>
      <c r="P96" t="s">
        <v>261</v>
      </c>
      <c r="Q96" t="s">
        <v>261</v>
      </c>
      <c r="R96" t="s">
        <v>261</v>
      </c>
      <c r="S96" t="s">
        <v>261</v>
      </c>
      <c r="T96" t="s">
        <v>261</v>
      </c>
      <c r="U96" t="s">
        <v>261</v>
      </c>
      <c r="V96" t="s">
        <v>261</v>
      </c>
    </row>
    <row r="97" spans="1:22">
      <c r="A97" s="20">
        <f t="shared" si="3"/>
        <v>96</v>
      </c>
      <c r="B97" s="101" t="s">
        <v>687</v>
      </c>
      <c r="C97" s="6">
        <v>44337</v>
      </c>
      <c r="D97" t="s">
        <v>521</v>
      </c>
      <c r="E97" t="s">
        <v>522</v>
      </c>
      <c r="F97" t="s">
        <v>523</v>
      </c>
      <c r="G97" t="s">
        <v>18</v>
      </c>
      <c r="H97">
        <v>2</v>
      </c>
      <c r="I97" s="8">
        <v>1912.97</v>
      </c>
      <c r="J97" s="8">
        <f t="shared" si="2"/>
        <v>956.48500000000001</v>
      </c>
      <c r="K97" t="s">
        <v>524</v>
      </c>
      <c r="L97" t="s">
        <v>535</v>
      </c>
      <c r="M97" t="s">
        <v>261</v>
      </c>
      <c r="N97" t="s">
        <v>261</v>
      </c>
      <c r="O97" t="s">
        <v>261</v>
      </c>
      <c r="P97" t="s">
        <v>261</v>
      </c>
      <c r="Q97" t="s">
        <v>261</v>
      </c>
      <c r="R97" t="s">
        <v>261</v>
      </c>
      <c r="S97" t="s">
        <v>261</v>
      </c>
      <c r="T97" t="s">
        <v>261</v>
      </c>
      <c r="U97" t="s">
        <v>261</v>
      </c>
      <c r="V97" t="s">
        <v>261</v>
      </c>
    </row>
    <row r="98" spans="1:22">
      <c r="A98" s="18">
        <f t="shared" si="3"/>
        <v>97</v>
      </c>
      <c r="B98" s="10" t="s">
        <v>525</v>
      </c>
      <c r="C98" s="6">
        <v>44338</v>
      </c>
      <c r="D98" t="s">
        <v>526</v>
      </c>
      <c r="E98" t="s">
        <v>531</v>
      </c>
      <c r="F98" t="s">
        <v>527</v>
      </c>
      <c r="G98" t="s">
        <v>18</v>
      </c>
      <c r="H98">
        <v>1</v>
      </c>
      <c r="I98" s="8">
        <v>798.95</v>
      </c>
      <c r="J98" s="8">
        <f t="shared" si="2"/>
        <v>798.95</v>
      </c>
      <c r="K98" t="s">
        <v>528</v>
      </c>
      <c r="L98" t="s">
        <v>323</v>
      </c>
      <c r="M98" t="s">
        <v>261</v>
      </c>
      <c r="N98" t="s">
        <v>261</v>
      </c>
      <c r="O98" t="s">
        <v>261</v>
      </c>
      <c r="P98" t="s">
        <v>261</v>
      </c>
      <c r="Q98" t="s">
        <v>261</v>
      </c>
      <c r="R98" t="s">
        <v>261</v>
      </c>
      <c r="S98" t="s">
        <v>261</v>
      </c>
      <c r="T98" t="s">
        <v>261</v>
      </c>
      <c r="U98" t="s">
        <v>261</v>
      </c>
      <c r="V98" t="s">
        <v>261</v>
      </c>
    </row>
    <row r="99" spans="1:22">
      <c r="A99">
        <f t="shared" si="3"/>
        <v>98</v>
      </c>
      <c r="B99" s="10" t="s">
        <v>529</v>
      </c>
      <c r="C99" s="6">
        <v>44340</v>
      </c>
      <c r="D99" t="s">
        <v>530</v>
      </c>
      <c r="E99" t="s">
        <v>532</v>
      </c>
      <c r="F99" t="s">
        <v>533</v>
      </c>
      <c r="G99" t="s">
        <v>18</v>
      </c>
      <c r="H99">
        <v>1</v>
      </c>
      <c r="I99" s="8">
        <v>4332.24</v>
      </c>
      <c r="J99" s="8">
        <f t="shared" si="2"/>
        <v>4332.24</v>
      </c>
      <c r="K99" t="s">
        <v>534</v>
      </c>
      <c r="L99" t="s">
        <v>548</v>
      </c>
      <c r="M99" t="s">
        <v>261</v>
      </c>
      <c r="N99" t="s">
        <v>261</v>
      </c>
      <c r="O99" t="s">
        <v>261</v>
      </c>
      <c r="P99" t="s">
        <v>261</v>
      </c>
      <c r="Q99" t="s">
        <v>261</v>
      </c>
      <c r="R99" t="s">
        <v>261</v>
      </c>
      <c r="S99" t="s">
        <v>261</v>
      </c>
      <c r="T99" t="s">
        <v>261</v>
      </c>
      <c r="U99" t="s">
        <v>261</v>
      </c>
      <c r="V99" t="s">
        <v>261</v>
      </c>
    </row>
    <row r="100" spans="1:22">
      <c r="A100" s="12">
        <f t="shared" si="3"/>
        <v>99</v>
      </c>
      <c r="B100" s="10" t="s">
        <v>1265</v>
      </c>
      <c r="C100" s="6">
        <v>44340</v>
      </c>
      <c r="D100" t="s">
        <v>538</v>
      </c>
      <c r="E100" t="s">
        <v>539</v>
      </c>
      <c r="F100" t="s">
        <v>540</v>
      </c>
      <c r="G100" t="s">
        <v>18</v>
      </c>
      <c r="H100">
        <v>2</v>
      </c>
      <c r="I100" s="8">
        <v>2188.4</v>
      </c>
      <c r="J100" s="8">
        <f t="shared" si="2"/>
        <v>1094.2</v>
      </c>
      <c r="K100" t="s">
        <v>541</v>
      </c>
      <c r="L100" t="s">
        <v>554</v>
      </c>
      <c r="M100" t="s">
        <v>261</v>
      </c>
      <c r="N100" t="s">
        <v>261</v>
      </c>
      <c r="O100" t="s">
        <v>261</v>
      </c>
      <c r="P100" t="s">
        <v>261</v>
      </c>
      <c r="Q100" t="s">
        <v>261</v>
      </c>
      <c r="R100" t="s">
        <v>261</v>
      </c>
      <c r="S100" t="s">
        <v>261</v>
      </c>
      <c r="T100" t="s">
        <v>261</v>
      </c>
      <c r="U100" t="s">
        <v>261</v>
      </c>
      <c r="V100" t="s">
        <v>261</v>
      </c>
    </row>
    <row r="101" spans="1:22">
      <c r="A101">
        <f t="shared" si="3"/>
        <v>100</v>
      </c>
      <c r="B101" s="10" t="s">
        <v>542</v>
      </c>
      <c r="C101" s="6">
        <v>44341</v>
      </c>
      <c r="D101" t="s">
        <v>543</v>
      </c>
      <c r="E101" t="s">
        <v>544</v>
      </c>
      <c r="F101" t="s">
        <v>545</v>
      </c>
      <c r="G101" t="s">
        <v>18</v>
      </c>
      <c r="H101">
        <v>1</v>
      </c>
      <c r="I101" s="8">
        <v>3479.4</v>
      </c>
      <c r="J101" s="8">
        <f t="shared" si="2"/>
        <v>3479.4</v>
      </c>
      <c r="K101" t="s">
        <v>546</v>
      </c>
      <c r="L101" t="s">
        <v>547</v>
      </c>
      <c r="M101" t="s">
        <v>261</v>
      </c>
      <c r="N101" t="s">
        <v>261</v>
      </c>
      <c r="O101" t="s">
        <v>261</v>
      </c>
      <c r="P101" t="s">
        <v>261</v>
      </c>
      <c r="Q101" t="s">
        <v>261</v>
      </c>
      <c r="R101" t="s">
        <v>261</v>
      </c>
      <c r="S101" t="s">
        <v>261</v>
      </c>
      <c r="T101" t="s">
        <v>261</v>
      </c>
      <c r="U101" t="s">
        <v>261</v>
      </c>
      <c r="V101" t="s">
        <v>261</v>
      </c>
    </row>
    <row r="102" spans="1:22">
      <c r="A102">
        <f t="shared" si="3"/>
        <v>101</v>
      </c>
      <c r="B102" s="10" t="s">
        <v>549</v>
      </c>
      <c r="C102" s="6">
        <v>44342</v>
      </c>
      <c r="D102" t="s">
        <v>550</v>
      </c>
      <c r="E102" t="s">
        <v>551</v>
      </c>
      <c r="F102" t="s">
        <v>552</v>
      </c>
      <c r="G102" t="s">
        <v>18</v>
      </c>
      <c r="H102">
        <v>1</v>
      </c>
      <c r="I102" s="8">
        <v>1310</v>
      </c>
      <c r="J102" s="8">
        <f t="shared" si="2"/>
        <v>1310</v>
      </c>
      <c r="K102" t="s">
        <v>553</v>
      </c>
      <c r="L102" t="s">
        <v>560</v>
      </c>
      <c r="M102" t="s">
        <v>261</v>
      </c>
      <c r="N102" t="s">
        <v>261</v>
      </c>
      <c r="O102" t="s">
        <v>261</v>
      </c>
      <c r="P102" t="s">
        <v>261</v>
      </c>
      <c r="Q102" t="s">
        <v>261</v>
      </c>
      <c r="R102" t="s">
        <v>261</v>
      </c>
      <c r="S102" t="s">
        <v>261</v>
      </c>
      <c r="T102" t="s">
        <v>261</v>
      </c>
      <c r="U102" t="s">
        <v>261</v>
      </c>
      <c r="V102" t="s">
        <v>261</v>
      </c>
    </row>
    <row r="103" spans="1:22">
      <c r="A103" s="18">
        <f t="shared" si="3"/>
        <v>102</v>
      </c>
      <c r="B103" s="10" t="s">
        <v>555</v>
      </c>
      <c r="C103" s="6">
        <v>44337</v>
      </c>
      <c r="D103" t="s">
        <v>556</v>
      </c>
      <c r="E103" t="s">
        <v>557</v>
      </c>
      <c r="F103" t="s">
        <v>558</v>
      </c>
      <c r="G103" t="s">
        <v>18</v>
      </c>
      <c r="H103">
        <v>1</v>
      </c>
      <c r="I103" s="8">
        <v>1159.53</v>
      </c>
      <c r="J103" s="8">
        <f t="shared" si="2"/>
        <v>1159.53</v>
      </c>
      <c r="K103" t="s">
        <v>559</v>
      </c>
      <c r="L103" t="s">
        <v>571</v>
      </c>
      <c r="M103" t="s">
        <v>261</v>
      </c>
      <c r="N103" t="s">
        <v>261</v>
      </c>
      <c r="O103" t="s">
        <v>261</v>
      </c>
      <c r="P103" t="s">
        <v>261</v>
      </c>
      <c r="Q103" t="s">
        <v>261</v>
      </c>
      <c r="R103" t="s">
        <v>261</v>
      </c>
      <c r="S103" t="s">
        <v>261</v>
      </c>
      <c r="T103" t="s">
        <v>261</v>
      </c>
      <c r="U103" t="s">
        <v>261</v>
      </c>
      <c r="V103" t="s">
        <v>261</v>
      </c>
    </row>
    <row r="104" spans="1:22">
      <c r="A104">
        <f t="shared" si="3"/>
        <v>103</v>
      </c>
      <c r="B104" s="10" t="s">
        <v>561</v>
      </c>
      <c r="C104" s="6">
        <v>44343</v>
      </c>
      <c r="D104" t="s">
        <v>2415</v>
      </c>
      <c r="E104" t="s">
        <v>563</v>
      </c>
      <c r="F104" t="s">
        <v>564</v>
      </c>
      <c r="G104" t="s">
        <v>18</v>
      </c>
      <c r="H104">
        <v>1</v>
      </c>
      <c r="I104" s="8">
        <v>919.6</v>
      </c>
      <c r="J104" s="8">
        <f t="shared" si="2"/>
        <v>919.6</v>
      </c>
      <c r="K104" t="s">
        <v>565</v>
      </c>
      <c r="L104" t="s">
        <v>403</v>
      </c>
      <c r="M104" t="s">
        <v>261</v>
      </c>
      <c r="N104" t="s">
        <v>261</v>
      </c>
      <c r="O104" t="s">
        <v>261</v>
      </c>
      <c r="P104" t="s">
        <v>261</v>
      </c>
      <c r="Q104" t="s">
        <v>261</v>
      </c>
      <c r="R104" t="s">
        <v>261</v>
      </c>
      <c r="S104" t="s">
        <v>261</v>
      </c>
      <c r="T104" t="s">
        <v>261</v>
      </c>
      <c r="U104" t="s">
        <v>261</v>
      </c>
      <c r="V104" t="s">
        <v>261</v>
      </c>
    </row>
    <row r="105" spans="1:22">
      <c r="A105">
        <f t="shared" si="3"/>
        <v>104</v>
      </c>
      <c r="B105" s="10" t="s">
        <v>566</v>
      </c>
      <c r="C105" s="6">
        <v>44343</v>
      </c>
      <c r="D105" t="s">
        <v>567</v>
      </c>
      <c r="E105" t="s">
        <v>568</v>
      </c>
      <c r="F105" t="s">
        <v>569</v>
      </c>
      <c r="G105" t="s">
        <v>18</v>
      </c>
      <c r="H105">
        <v>1</v>
      </c>
      <c r="I105" s="8">
        <v>1324.3</v>
      </c>
      <c r="J105" s="8">
        <f t="shared" si="2"/>
        <v>1324.3</v>
      </c>
      <c r="K105" t="s">
        <v>570</v>
      </c>
      <c r="L105" t="s">
        <v>593</v>
      </c>
      <c r="M105" t="s">
        <v>261</v>
      </c>
      <c r="N105" t="s">
        <v>261</v>
      </c>
      <c r="O105" t="s">
        <v>261</v>
      </c>
      <c r="P105" t="s">
        <v>261</v>
      </c>
      <c r="Q105" t="s">
        <v>261</v>
      </c>
      <c r="R105" t="s">
        <v>261</v>
      </c>
      <c r="S105" t="s">
        <v>261</v>
      </c>
      <c r="T105" t="s">
        <v>261</v>
      </c>
      <c r="U105" t="s">
        <v>261</v>
      </c>
      <c r="V105" t="s">
        <v>261</v>
      </c>
    </row>
    <row r="106" spans="1:22">
      <c r="A106" s="23">
        <f t="shared" si="3"/>
        <v>105</v>
      </c>
      <c r="B106" s="10" t="s">
        <v>2418</v>
      </c>
      <c r="C106" s="6">
        <v>44344</v>
      </c>
      <c r="D106" t="s">
        <v>572</v>
      </c>
      <c r="E106" t="s">
        <v>573</v>
      </c>
      <c r="F106" t="s">
        <v>574</v>
      </c>
      <c r="G106" t="s">
        <v>18</v>
      </c>
      <c r="H106">
        <v>4</v>
      </c>
      <c r="I106" s="8">
        <v>10466.24</v>
      </c>
      <c r="J106" s="8">
        <f t="shared" si="2"/>
        <v>2616.56</v>
      </c>
      <c r="K106" t="s">
        <v>2212</v>
      </c>
      <c r="L106" t="s">
        <v>1682</v>
      </c>
      <c r="M106" t="s">
        <v>261</v>
      </c>
      <c r="N106" t="s">
        <v>261</v>
      </c>
      <c r="O106" t="s">
        <v>261</v>
      </c>
      <c r="P106" t="s">
        <v>261</v>
      </c>
      <c r="Q106" t="s">
        <v>261</v>
      </c>
      <c r="R106" t="s">
        <v>261</v>
      </c>
      <c r="S106" t="s">
        <v>261</v>
      </c>
      <c r="T106" t="s">
        <v>261</v>
      </c>
      <c r="U106" t="s">
        <v>261</v>
      </c>
      <c r="V106" t="s">
        <v>261</v>
      </c>
    </row>
    <row r="107" spans="1:22">
      <c r="A107">
        <f t="shared" si="3"/>
        <v>106</v>
      </c>
      <c r="B107" s="10" t="s">
        <v>577</v>
      </c>
      <c r="C107" s="6">
        <v>44344</v>
      </c>
      <c r="D107" t="s">
        <v>578</v>
      </c>
      <c r="E107" t="s">
        <v>579</v>
      </c>
      <c r="F107" t="s">
        <v>580</v>
      </c>
      <c r="G107" t="s">
        <v>18</v>
      </c>
      <c r="H107">
        <v>1</v>
      </c>
      <c r="I107" s="8">
        <v>1232</v>
      </c>
      <c r="J107" s="8">
        <f t="shared" si="2"/>
        <v>1232</v>
      </c>
      <c r="K107" t="s">
        <v>581</v>
      </c>
      <c r="L107" t="s">
        <v>582</v>
      </c>
      <c r="M107" t="s">
        <v>261</v>
      </c>
      <c r="N107" t="s">
        <v>261</v>
      </c>
      <c r="O107" t="s">
        <v>261</v>
      </c>
      <c r="P107" t="s">
        <v>261</v>
      </c>
      <c r="Q107" t="s">
        <v>261</v>
      </c>
      <c r="R107" t="s">
        <v>261</v>
      </c>
      <c r="S107" t="s">
        <v>261</v>
      </c>
      <c r="T107" t="s">
        <v>261</v>
      </c>
      <c r="U107" t="s">
        <v>261</v>
      </c>
      <c r="V107" t="s">
        <v>261</v>
      </c>
    </row>
    <row r="108" spans="1:22">
      <c r="A108">
        <f t="shared" si="3"/>
        <v>107</v>
      </c>
      <c r="B108" s="10" t="s">
        <v>583</v>
      </c>
      <c r="C108" s="6">
        <v>44344</v>
      </c>
      <c r="D108" t="s">
        <v>584</v>
      </c>
      <c r="E108" t="s">
        <v>585</v>
      </c>
      <c r="F108" t="s">
        <v>586</v>
      </c>
      <c r="G108" t="s">
        <v>18</v>
      </c>
      <c r="H108">
        <v>1</v>
      </c>
      <c r="I108" s="8">
        <v>810</v>
      </c>
      <c r="J108" s="8">
        <f t="shared" si="2"/>
        <v>810</v>
      </c>
      <c r="K108" t="s">
        <v>587</v>
      </c>
      <c r="L108" t="s">
        <v>588</v>
      </c>
      <c r="M108" t="s">
        <v>261</v>
      </c>
      <c r="N108" t="s">
        <v>261</v>
      </c>
      <c r="O108" t="s">
        <v>261</v>
      </c>
      <c r="P108" t="s">
        <v>261</v>
      </c>
      <c r="Q108" t="s">
        <v>261</v>
      </c>
      <c r="R108" t="s">
        <v>261</v>
      </c>
      <c r="S108" t="s">
        <v>261</v>
      </c>
      <c r="T108" t="s">
        <v>261</v>
      </c>
      <c r="U108" t="s">
        <v>261</v>
      </c>
      <c r="V108" t="s">
        <v>261</v>
      </c>
    </row>
    <row r="109" spans="1:22">
      <c r="A109">
        <f t="shared" si="3"/>
        <v>108</v>
      </c>
      <c r="B109" s="10" t="s">
        <v>589</v>
      </c>
      <c r="C109" s="6">
        <v>44345</v>
      </c>
      <c r="D109" t="s">
        <v>592</v>
      </c>
      <c r="E109" t="s">
        <v>591</v>
      </c>
      <c r="F109" s="13" t="s">
        <v>590</v>
      </c>
      <c r="G109" t="s">
        <v>18</v>
      </c>
      <c r="H109">
        <v>1</v>
      </c>
      <c r="I109" s="8">
        <v>980.4</v>
      </c>
      <c r="J109" s="8">
        <f t="shared" si="2"/>
        <v>980.4</v>
      </c>
      <c r="K109" t="s">
        <v>322</v>
      </c>
      <c r="L109" t="s">
        <v>403</v>
      </c>
      <c r="M109" t="s">
        <v>261</v>
      </c>
      <c r="N109" t="s">
        <v>261</v>
      </c>
      <c r="O109" t="s">
        <v>261</v>
      </c>
      <c r="P109" t="s">
        <v>261</v>
      </c>
      <c r="Q109" t="s">
        <v>261</v>
      </c>
      <c r="R109" t="s">
        <v>261</v>
      </c>
      <c r="S109" t="s">
        <v>261</v>
      </c>
      <c r="T109" t="s">
        <v>261</v>
      </c>
      <c r="U109" t="s">
        <v>261</v>
      </c>
      <c r="V109" t="s">
        <v>261</v>
      </c>
    </row>
    <row r="110" spans="1:22">
      <c r="A110">
        <f t="shared" si="3"/>
        <v>109</v>
      </c>
      <c r="B110" s="10" t="s">
        <v>594</v>
      </c>
      <c r="C110" s="6">
        <v>44331</v>
      </c>
      <c r="D110" t="s">
        <v>595</v>
      </c>
      <c r="E110" t="s">
        <v>596</v>
      </c>
      <c r="F110" t="s">
        <v>597</v>
      </c>
      <c r="G110" t="s">
        <v>18</v>
      </c>
      <c r="H110">
        <v>1</v>
      </c>
      <c r="I110" s="8">
        <v>1211.4000000000001</v>
      </c>
      <c r="J110" s="8">
        <f t="shared" si="2"/>
        <v>1211.4000000000001</v>
      </c>
      <c r="K110" t="s">
        <v>598</v>
      </c>
      <c r="L110" t="s">
        <v>20</v>
      </c>
      <c r="M110" t="s">
        <v>261</v>
      </c>
      <c r="N110" t="s">
        <v>261</v>
      </c>
      <c r="O110" t="s">
        <v>261</v>
      </c>
      <c r="P110" t="s">
        <v>261</v>
      </c>
      <c r="Q110" t="s">
        <v>261</v>
      </c>
      <c r="R110" t="s">
        <v>261</v>
      </c>
      <c r="S110" t="s">
        <v>261</v>
      </c>
      <c r="T110" t="s">
        <v>261</v>
      </c>
      <c r="U110" t="s">
        <v>261</v>
      </c>
      <c r="V110" t="s">
        <v>261</v>
      </c>
    </row>
    <row r="111" spans="1:22">
      <c r="A111">
        <f t="shared" si="3"/>
        <v>110</v>
      </c>
      <c r="B111" s="10" t="s">
        <v>599</v>
      </c>
      <c r="C111" s="6">
        <v>44350</v>
      </c>
      <c r="D111" t="s">
        <v>600</v>
      </c>
      <c r="E111" t="s">
        <v>601</v>
      </c>
      <c r="F111" t="s">
        <v>602</v>
      </c>
      <c r="G111" t="s">
        <v>18</v>
      </c>
      <c r="H111">
        <v>1</v>
      </c>
      <c r="I111" s="8">
        <v>796.5</v>
      </c>
      <c r="J111" s="8">
        <f t="shared" si="2"/>
        <v>796.5</v>
      </c>
      <c r="K111" t="s">
        <v>603</v>
      </c>
      <c r="L111" t="s">
        <v>281</v>
      </c>
      <c r="M111" t="s">
        <v>261</v>
      </c>
      <c r="N111" t="s">
        <v>261</v>
      </c>
      <c r="O111" t="s">
        <v>261</v>
      </c>
      <c r="P111" t="s">
        <v>261</v>
      </c>
      <c r="Q111" t="s">
        <v>261</v>
      </c>
      <c r="R111" t="s">
        <v>261</v>
      </c>
      <c r="S111" t="s">
        <v>261</v>
      </c>
      <c r="T111" t="s">
        <v>261</v>
      </c>
      <c r="U111" t="s">
        <v>261</v>
      </c>
      <c r="V111" t="s">
        <v>261</v>
      </c>
    </row>
    <row r="112" spans="1:22">
      <c r="A112">
        <f t="shared" si="3"/>
        <v>111</v>
      </c>
      <c r="B112" s="10" t="s">
        <v>604</v>
      </c>
      <c r="C112" s="6">
        <v>44350</v>
      </c>
      <c r="D112" t="s">
        <v>605</v>
      </c>
      <c r="E112" t="s">
        <v>606</v>
      </c>
      <c r="F112" t="s">
        <v>607</v>
      </c>
      <c r="G112" t="s">
        <v>18</v>
      </c>
      <c r="H112">
        <v>1</v>
      </c>
      <c r="I112" s="8">
        <v>736.25</v>
      </c>
      <c r="J112" s="8">
        <f t="shared" si="2"/>
        <v>736.25</v>
      </c>
      <c r="K112" t="s">
        <v>608</v>
      </c>
      <c r="L112" t="s">
        <v>403</v>
      </c>
      <c r="M112" t="s">
        <v>261</v>
      </c>
      <c r="N112" t="s">
        <v>261</v>
      </c>
      <c r="O112" t="s">
        <v>261</v>
      </c>
      <c r="P112" t="s">
        <v>261</v>
      </c>
      <c r="Q112" t="s">
        <v>261</v>
      </c>
      <c r="R112" t="s">
        <v>261</v>
      </c>
      <c r="S112" t="s">
        <v>261</v>
      </c>
      <c r="T112" t="s">
        <v>261</v>
      </c>
      <c r="U112" t="s">
        <v>261</v>
      </c>
      <c r="V112" t="s">
        <v>261</v>
      </c>
    </row>
    <row r="113" spans="1:22">
      <c r="A113">
        <f t="shared" si="3"/>
        <v>112</v>
      </c>
      <c r="B113" s="10" t="s">
        <v>609</v>
      </c>
      <c r="C113" s="6">
        <v>44350</v>
      </c>
      <c r="D113" t="s">
        <v>610</v>
      </c>
      <c r="E113" t="s">
        <v>611</v>
      </c>
      <c r="F113" t="s">
        <v>612</v>
      </c>
      <c r="G113" t="s">
        <v>18</v>
      </c>
      <c r="H113">
        <v>1</v>
      </c>
      <c r="I113" s="8">
        <v>716.4</v>
      </c>
      <c r="J113" s="8">
        <f t="shared" si="2"/>
        <v>716.4</v>
      </c>
      <c r="K113" t="s">
        <v>613</v>
      </c>
      <c r="L113" t="s">
        <v>617</v>
      </c>
      <c r="M113" t="s">
        <v>261</v>
      </c>
      <c r="N113" t="s">
        <v>261</v>
      </c>
      <c r="O113" t="s">
        <v>261</v>
      </c>
      <c r="P113" t="s">
        <v>261</v>
      </c>
      <c r="Q113" t="s">
        <v>261</v>
      </c>
      <c r="R113" t="s">
        <v>261</v>
      </c>
      <c r="S113" t="s">
        <v>261</v>
      </c>
      <c r="T113" t="s">
        <v>261</v>
      </c>
      <c r="U113" t="s">
        <v>261</v>
      </c>
      <c r="V113" t="s">
        <v>261</v>
      </c>
    </row>
    <row r="114" spans="1:22">
      <c r="A114" s="12">
        <f t="shared" si="3"/>
        <v>113</v>
      </c>
      <c r="B114" s="10" t="s">
        <v>645</v>
      </c>
      <c r="C114" s="6">
        <v>44281</v>
      </c>
      <c r="D114" t="s">
        <v>614</v>
      </c>
      <c r="E114" t="s">
        <v>615</v>
      </c>
      <c r="F114" t="s">
        <v>646</v>
      </c>
      <c r="G114" t="s">
        <v>18</v>
      </c>
      <c r="H114">
        <v>2</v>
      </c>
      <c r="I114" s="8">
        <v>2425.5</v>
      </c>
      <c r="J114" s="8">
        <f t="shared" si="2"/>
        <v>1212.75</v>
      </c>
      <c r="K114" t="s">
        <v>647</v>
      </c>
      <c r="L114" t="s">
        <v>616</v>
      </c>
      <c r="M114" t="s">
        <v>261</v>
      </c>
      <c r="N114" t="s">
        <v>261</v>
      </c>
      <c r="O114" t="s">
        <v>261</v>
      </c>
      <c r="P114" t="s">
        <v>261</v>
      </c>
      <c r="Q114" t="s">
        <v>261</v>
      </c>
      <c r="R114" t="s">
        <v>261</v>
      </c>
      <c r="S114" t="s">
        <v>261</v>
      </c>
      <c r="T114" t="s">
        <v>261</v>
      </c>
      <c r="U114" t="s">
        <v>261</v>
      </c>
      <c r="V114" t="s">
        <v>261</v>
      </c>
    </row>
    <row r="115" spans="1:22">
      <c r="A115">
        <f t="shared" si="3"/>
        <v>114</v>
      </c>
      <c r="B115" s="10" t="s">
        <v>618</v>
      </c>
      <c r="C115" s="6">
        <v>44351</v>
      </c>
      <c r="D115" t="s">
        <v>619</v>
      </c>
      <c r="E115" t="s">
        <v>620</v>
      </c>
      <c r="F115" t="s">
        <v>621</v>
      </c>
      <c r="G115" t="s">
        <v>18</v>
      </c>
      <c r="H115">
        <v>1</v>
      </c>
      <c r="I115" s="8">
        <v>963.3</v>
      </c>
      <c r="J115" s="8">
        <f t="shared" si="2"/>
        <v>963.3</v>
      </c>
      <c r="K115" t="s">
        <v>622</v>
      </c>
      <c r="L115" t="s">
        <v>638</v>
      </c>
      <c r="M115" t="s">
        <v>261</v>
      </c>
      <c r="N115" t="s">
        <v>261</v>
      </c>
      <c r="O115" t="s">
        <v>261</v>
      </c>
      <c r="P115" t="s">
        <v>261</v>
      </c>
      <c r="Q115" t="s">
        <v>261</v>
      </c>
      <c r="R115" t="s">
        <v>261</v>
      </c>
      <c r="S115" t="s">
        <v>261</v>
      </c>
      <c r="T115" t="s">
        <v>261</v>
      </c>
      <c r="U115" t="s">
        <v>261</v>
      </c>
      <c r="V115" t="s">
        <v>261</v>
      </c>
    </row>
    <row r="116" spans="1:22">
      <c r="A116" s="18">
        <f t="shared" si="3"/>
        <v>115</v>
      </c>
      <c r="B116" s="101" t="s">
        <v>623</v>
      </c>
      <c r="C116" s="6">
        <v>44352</v>
      </c>
      <c r="D116" s="11" t="s">
        <v>624</v>
      </c>
      <c r="E116" t="s">
        <v>625</v>
      </c>
      <c r="F116" t="s">
        <v>626</v>
      </c>
      <c r="G116" t="s">
        <v>228</v>
      </c>
      <c r="H116">
        <v>1</v>
      </c>
      <c r="I116" s="8">
        <v>3420</v>
      </c>
      <c r="J116" s="8">
        <f t="shared" si="2"/>
        <v>3420</v>
      </c>
      <c r="K116" t="s">
        <v>627</v>
      </c>
      <c r="L116" t="s">
        <v>628</v>
      </c>
      <c r="M116" t="s">
        <v>261</v>
      </c>
      <c r="N116" t="s">
        <v>261</v>
      </c>
      <c r="O116" t="s">
        <v>261</v>
      </c>
      <c r="P116" t="s">
        <v>261</v>
      </c>
      <c r="Q116" t="s">
        <v>261</v>
      </c>
      <c r="R116" t="s">
        <v>261</v>
      </c>
      <c r="S116" t="s">
        <v>261</v>
      </c>
      <c r="T116" t="s">
        <v>261</v>
      </c>
      <c r="U116" t="s">
        <v>261</v>
      </c>
      <c r="V116" t="s">
        <v>261</v>
      </c>
    </row>
    <row r="117" spans="1:22">
      <c r="A117">
        <f t="shared" si="3"/>
        <v>116</v>
      </c>
      <c r="B117" s="10" t="s">
        <v>629</v>
      </c>
      <c r="C117" s="6">
        <v>44354</v>
      </c>
      <c r="D117" t="s">
        <v>630</v>
      </c>
      <c r="E117" t="s">
        <v>631</v>
      </c>
      <c r="F117" t="s">
        <v>632</v>
      </c>
      <c r="G117" t="s">
        <v>18</v>
      </c>
      <c r="H117">
        <v>1</v>
      </c>
      <c r="I117" s="8">
        <v>650</v>
      </c>
      <c r="J117" s="8">
        <f t="shared" si="2"/>
        <v>650</v>
      </c>
      <c r="K117" t="s">
        <v>84</v>
      </c>
      <c r="L117" t="s">
        <v>809</v>
      </c>
      <c r="M117" t="s">
        <v>261</v>
      </c>
      <c r="N117" t="s">
        <v>261</v>
      </c>
      <c r="O117" t="s">
        <v>261</v>
      </c>
      <c r="P117" t="s">
        <v>261</v>
      </c>
      <c r="Q117" t="s">
        <v>261</v>
      </c>
      <c r="R117" t="s">
        <v>261</v>
      </c>
      <c r="S117" t="s">
        <v>261</v>
      </c>
      <c r="T117" t="s">
        <v>261</v>
      </c>
      <c r="U117" t="s">
        <v>261</v>
      </c>
      <c r="V117" t="s">
        <v>261</v>
      </c>
    </row>
    <row r="118" spans="1:22">
      <c r="A118">
        <f t="shared" si="3"/>
        <v>117</v>
      </c>
      <c r="B118" s="10" t="s">
        <v>633</v>
      </c>
      <c r="C118" s="6">
        <v>44355</v>
      </c>
      <c r="D118" t="s">
        <v>634</v>
      </c>
      <c r="E118" t="s">
        <v>635</v>
      </c>
      <c r="F118" t="s">
        <v>636</v>
      </c>
      <c r="G118" t="s">
        <v>18</v>
      </c>
      <c r="H118">
        <v>1</v>
      </c>
      <c r="I118" s="8">
        <v>2394.9</v>
      </c>
      <c r="J118" s="8">
        <f t="shared" si="2"/>
        <v>2394.9</v>
      </c>
      <c r="K118" t="s">
        <v>637</v>
      </c>
      <c r="L118" t="s">
        <v>698</v>
      </c>
      <c r="M118" t="s">
        <v>261</v>
      </c>
      <c r="N118" t="s">
        <v>261</v>
      </c>
      <c r="O118" t="s">
        <v>261</v>
      </c>
      <c r="P118" t="s">
        <v>261</v>
      </c>
      <c r="Q118" t="s">
        <v>261</v>
      </c>
      <c r="R118" t="s">
        <v>261</v>
      </c>
      <c r="S118" t="s">
        <v>261</v>
      </c>
      <c r="T118" t="s">
        <v>261</v>
      </c>
      <c r="U118" t="s">
        <v>261</v>
      </c>
      <c r="V118" t="s">
        <v>261</v>
      </c>
    </row>
    <row r="119" spans="1:22">
      <c r="A119">
        <f t="shared" si="3"/>
        <v>118</v>
      </c>
      <c r="B119" s="10" t="s">
        <v>639</v>
      </c>
      <c r="C119" s="6">
        <v>44356</v>
      </c>
      <c r="D119" t="s">
        <v>640</v>
      </c>
      <c r="E119" t="s">
        <v>641</v>
      </c>
      <c r="F119" t="s">
        <v>642</v>
      </c>
      <c r="G119" t="s">
        <v>18</v>
      </c>
      <c r="H119">
        <v>1</v>
      </c>
      <c r="I119" s="8">
        <v>980</v>
      </c>
      <c r="J119" s="8">
        <f t="shared" si="2"/>
        <v>980</v>
      </c>
      <c r="K119" t="s">
        <v>643</v>
      </c>
      <c r="L119" t="s">
        <v>644</v>
      </c>
      <c r="M119" t="s">
        <v>261</v>
      </c>
      <c r="N119" t="s">
        <v>261</v>
      </c>
      <c r="O119" t="s">
        <v>261</v>
      </c>
      <c r="P119" t="s">
        <v>261</v>
      </c>
      <c r="Q119" t="s">
        <v>261</v>
      </c>
      <c r="R119" t="s">
        <v>261</v>
      </c>
      <c r="S119" t="s">
        <v>261</v>
      </c>
      <c r="T119" t="s">
        <v>261</v>
      </c>
      <c r="U119" t="s">
        <v>261</v>
      </c>
      <c r="V119" t="s">
        <v>261</v>
      </c>
    </row>
    <row r="120" spans="1:22">
      <c r="A120" s="21">
        <f>+A119+1</f>
        <v>119</v>
      </c>
      <c r="B120" s="10" t="s">
        <v>653</v>
      </c>
      <c r="C120" s="6">
        <v>44358</v>
      </c>
      <c r="D120" t="s">
        <v>654</v>
      </c>
      <c r="E120" t="s">
        <v>655</v>
      </c>
      <c r="F120" t="s">
        <v>656</v>
      </c>
      <c r="G120" t="s">
        <v>18</v>
      </c>
      <c r="H120">
        <v>1</v>
      </c>
      <c r="I120" s="8">
        <v>811.3</v>
      </c>
      <c r="J120" s="8">
        <f t="shared" ref="J120:J128" si="4">+I120/H120</f>
        <v>811.3</v>
      </c>
      <c r="K120" t="s">
        <v>657</v>
      </c>
      <c r="L120" t="s">
        <v>652</v>
      </c>
      <c r="M120" t="s">
        <v>261</v>
      </c>
      <c r="N120" t="s">
        <v>261</v>
      </c>
      <c r="O120" t="s">
        <v>261</v>
      </c>
      <c r="P120" t="s">
        <v>261</v>
      </c>
      <c r="Q120" t="s">
        <v>261</v>
      </c>
      <c r="R120" t="s">
        <v>261</v>
      </c>
      <c r="S120" t="s">
        <v>261</v>
      </c>
      <c r="T120" t="s">
        <v>261</v>
      </c>
      <c r="U120" t="s">
        <v>261</v>
      </c>
      <c r="V120" t="s">
        <v>261</v>
      </c>
    </row>
    <row r="121" spans="1:22">
      <c r="A121" s="21">
        <f t="shared" si="3"/>
        <v>120</v>
      </c>
      <c r="B121" s="10" t="s">
        <v>658</v>
      </c>
      <c r="C121" s="6">
        <v>44358</v>
      </c>
      <c r="D121" t="s">
        <v>659</v>
      </c>
      <c r="E121" t="s">
        <v>660</v>
      </c>
      <c r="F121" t="s">
        <v>661</v>
      </c>
      <c r="G121" t="s">
        <v>18</v>
      </c>
      <c r="H121">
        <v>1</v>
      </c>
      <c r="I121" s="8">
        <v>980.4</v>
      </c>
      <c r="J121" s="8">
        <f t="shared" si="4"/>
        <v>980.4</v>
      </c>
      <c r="K121" t="s">
        <v>662</v>
      </c>
      <c r="L121" t="s">
        <v>652</v>
      </c>
      <c r="M121" t="s">
        <v>261</v>
      </c>
      <c r="N121" t="s">
        <v>261</v>
      </c>
      <c r="O121" t="s">
        <v>261</v>
      </c>
      <c r="P121" t="s">
        <v>261</v>
      </c>
      <c r="Q121" t="s">
        <v>261</v>
      </c>
      <c r="R121" t="s">
        <v>261</v>
      </c>
      <c r="S121" t="s">
        <v>261</v>
      </c>
      <c r="T121" t="s">
        <v>261</v>
      </c>
      <c r="U121" t="s">
        <v>261</v>
      </c>
      <c r="V121" t="s">
        <v>261</v>
      </c>
    </row>
    <row r="122" spans="1:22">
      <c r="A122" s="21">
        <f t="shared" si="3"/>
        <v>121</v>
      </c>
      <c r="B122" s="10" t="s">
        <v>663</v>
      </c>
      <c r="C122" s="6">
        <v>44359</v>
      </c>
      <c r="D122" t="s">
        <v>664</v>
      </c>
      <c r="E122" t="s">
        <v>665</v>
      </c>
      <c r="F122" t="s">
        <v>666</v>
      </c>
      <c r="G122" t="s">
        <v>18</v>
      </c>
      <c r="H122">
        <v>1</v>
      </c>
      <c r="I122" s="8">
        <v>1881</v>
      </c>
      <c r="J122" s="8">
        <f t="shared" si="4"/>
        <v>1881</v>
      </c>
      <c r="K122" t="s">
        <v>667</v>
      </c>
      <c r="L122" t="s">
        <v>668</v>
      </c>
      <c r="M122" t="s">
        <v>261</v>
      </c>
      <c r="N122" t="s">
        <v>261</v>
      </c>
      <c r="O122" t="s">
        <v>261</v>
      </c>
      <c r="P122" t="s">
        <v>261</v>
      </c>
      <c r="Q122" t="s">
        <v>261</v>
      </c>
      <c r="R122" t="s">
        <v>261</v>
      </c>
      <c r="S122" t="s">
        <v>261</v>
      </c>
      <c r="T122" t="s">
        <v>261</v>
      </c>
      <c r="U122" t="s">
        <v>261</v>
      </c>
      <c r="V122" t="s">
        <v>261</v>
      </c>
    </row>
    <row r="123" spans="1:22">
      <c r="A123" s="18">
        <f t="shared" si="3"/>
        <v>122</v>
      </c>
      <c r="B123" s="10" t="s">
        <v>669</v>
      </c>
      <c r="C123" s="6">
        <v>44350</v>
      </c>
      <c r="D123" s="11" t="s">
        <v>670</v>
      </c>
      <c r="E123" t="s">
        <v>671</v>
      </c>
      <c r="F123" t="s">
        <v>672</v>
      </c>
      <c r="G123" t="s">
        <v>18</v>
      </c>
      <c r="H123">
        <v>1</v>
      </c>
      <c r="I123" s="8">
        <v>1366.48</v>
      </c>
      <c r="J123" s="8">
        <f t="shared" si="4"/>
        <v>1366.48</v>
      </c>
      <c r="K123" t="s">
        <v>673</v>
      </c>
      <c r="L123" t="s">
        <v>403</v>
      </c>
      <c r="M123" t="s">
        <v>261</v>
      </c>
      <c r="N123" t="s">
        <v>261</v>
      </c>
      <c r="O123" t="s">
        <v>261</v>
      </c>
      <c r="P123" t="s">
        <v>261</v>
      </c>
      <c r="Q123" t="s">
        <v>261</v>
      </c>
      <c r="R123" t="s">
        <v>261</v>
      </c>
      <c r="S123" t="s">
        <v>261</v>
      </c>
      <c r="T123" t="s">
        <v>261</v>
      </c>
      <c r="U123" t="s">
        <v>261</v>
      </c>
      <c r="V123" t="s">
        <v>261</v>
      </c>
    </row>
    <row r="124" spans="1:22">
      <c r="A124" s="12">
        <f t="shared" si="3"/>
        <v>123</v>
      </c>
      <c r="B124" s="10" t="s">
        <v>1241</v>
      </c>
      <c r="C124" s="6">
        <v>44351</v>
      </c>
      <c r="D124" t="s">
        <v>674</v>
      </c>
      <c r="E124" t="s">
        <v>675</v>
      </c>
      <c r="F124" t="s">
        <v>676</v>
      </c>
      <c r="G124" t="s">
        <v>18</v>
      </c>
      <c r="H124">
        <v>2</v>
      </c>
      <c r="I124" s="8">
        <v>4260.0600000000004</v>
      </c>
      <c r="J124" s="8">
        <f t="shared" si="4"/>
        <v>2130.0300000000002</v>
      </c>
      <c r="K124" t="s">
        <v>1242</v>
      </c>
      <c r="L124" t="s">
        <v>697</v>
      </c>
      <c r="M124" t="s">
        <v>261</v>
      </c>
      <c r="N124" t="s">
        <v>261</v>
      </c>
      <c r="O124" t="s">
        <v>261</v>
      </c>
      <c r="P124" t="s">
        <v>261</v>
      </c>
      <c r="Q124" t="s">
        <v>261</v>
      </c>
      <c r="R124" t="s">
        <v>261</v>
      </c>
      <c r="S124" t="s">
        <v>261</v>
      </c>
      <c r="T124" t="s">
        <v>261</v>
      </c>
      <c r="U124" t="s">
        <v>261</v>
      </c>
      <c r="V124" t="s">
        <v>261</v>
      </c>
    </row>
    <row r="125" spans="1:22">
      <c r="A125" s="41">
        <f t="shared" si="3"/>
        <v>124</v>
      </c>
      <c r="B125" s="101" t="s">
        <v>677</v>
      </c>
      <c r="C125" s="6">
        <v>44361</v>
      </c>
      <c r="D125" t="s">
        <v>678</v>
      </c>
      <c r="E125" t="s">
        <v>679</v>
      </c>
      <c r="F125" t="s">
        <v>680</v>
      </c>
      <c r="G125" t="s">
        <v>18</v>
      </c>
      <c r="H125">
        <v>1</v>
      </c>
      <c r="I125" s="8">
        <v>684</v>
      </c>
      <c r="J125" s="8">
        <f t="shared" si="4"/>
        <v>684</v>
      </c>
      <c r="K125" t="s">
        <v>117</v>
      </c>
      <c r="L125" t="s">
        <v>681</v>
      </c>
      <c r="M125" t="s">
        <v>261</v>
      </c>
      <c r="N125" t="s">
        <v>261</v>
      </c>
      <c r="O125" t="s">
        <v>261</v>
      </c>
      <c r="P125" t="s">
        <v>261</v>
      </c>
      <c r="Q125" t="s">
        <v>261</v>
      </c>
      <c r="R125" t="s">
        <v>261</v>
      </c>
      <c r="S125" t="s">
        <v>261</v>
      </c>
      <c r="T125" t="s">
        <v>261</v>
      </c>
      <c r="U125" t="s">
        <v>261</v>
      </c>
      <c r="V125" t="s">
        <v>261</v>
      </c>
    </row>
    <row r="126" spans="1:22">
      <c r="A126">
        <f t="shared" si="3"/>
        <v>125</v>
      </c>
      <c r="B126" s="101" t="s">
        <v>682</v>
      </c>
      <c r="C126" s="6">
        <v>44361</v>
      </c>
      <c r="D126" t="s">
        <v>683</v>
      </c>
      <c r="F126" t="s">
        <v>684</v>
      </c>
      <c r="G126" t="s">
        <v>685</v>
      </c>
      <c r="H126">
        <v>1</v>
      </c>
      <c r="I126" s="8">
        <v>1695.6</v>
      </c>
      <c r="J126" s="8">
        <f t="shared" si="4"/>
        <v>1695.6</v>
      </c>
      <c r="K126" t="s">
        <v>686</v>
      </c>
      <c r="L126" t="s">
        <v>691</v>
      </c>
      <c r="M126" t="s">
        <v>261</v>
      </c>
      <c r="N126" t="s">
        <v>261</v>
      </c>
      <c r="O126" t="s">
        <v>261</v>
      </c>
      <c r="P126" t="s">
        <v>261</v>
      </c>
      <c r="Q126" t="s">
        <v>261</v>
      </c>
      <c r="R126" t="s">
        <v>261</v>
      </c>
      <c r="S126" t="s">
        <v>261</v>
      </c>
      <c r="T126" t="s">
        <v>261</v>
      </c>
      <c r="U126" t="s">
        <v>261</v>
      </c>
      <c r="V126" t="s">
        <v>261</v>
      </c>
    </row>
    <row r="127" spans="1:22">
      <c r="A127" s="21">
        <f t="shared" si="3"/>
        <v>126</v>
      </c>
      <c r="B127" s="10" t="s">
        <v>692</v>
      </c>
      <c r="C127" s="6">
        <v>44363</v>
      </c>
      <c r="D127" t="s">
        <v>693</v>
      </c>
      <c r="E127" t="s">
        <v>694</v>
      </c>
      <c r="F127" t="s">
        <v>695</v>
      </c>
      <c r="G127" t="s">
        <v>18</v>
      </c>
      <c r="H127">
        <v>1</v>
      </c>
      <c r="I127" s="8">
        <v>817</v>
      </c>
      <c r="J127" s="8">
        <f t="shared" si="4"/>
        <v>817</v>
      </c>
      <c r="K127" t="s">
        <v>696</v>
      </c>
      <c r="L127" t="s">
        <v>668</v>
      </c>
      <c r="M127" t="s">
        <v>261</v>
      </c>
      <c r="N127" t="s">
        <v>261</v>
      </c>
      <c r="O127" t="s">
        <v>261</v>
      </c>
      <c r="P127" t="s">
        <v>261</v>
      </c>
      <c r="Q127" t="s">
        <v>261</v>
      </c>
      <c r="R127" t="s">
        <v>261</v>
      </c>
      <c r="S127" t="s">
        <v>261</v>
      </c>
      <c r="T127" t="s">
        <v>261</v>
      </c>
      <c r="U127" t="s">
        <v>261</v>
      </c>
      <c r="V127" t="s">
        <v>261</v>
      </c>
    </row>
    <row r="128" spans="1:22">
      <c r="A128" s="41">
        <f t="shared" si="3"/>
        <v>127</v>
      </c>
      <c r="B128" s="10" t="s">
        <v>699</v>
      </c>
      <c r="C128" s="6">
        <v>44364</v>
      </c>
      <c r="D128" t="s">
        <v>701</v>
      </c>
      <c r="E128" t="s">
        <v>702</v>
      </c>
      <c r="F128" t="s">
        <v>700</v>
      </c>
      <c r="G128" t="s">
        <v>18</v>
      </c>
      <c r="H128">
        <v>1</v>
      </c>
      <c r="I128" s="8">
        <v>3272.4</v>
      </c>
      <c r="J128" s="8">
        <f t="shared" si="4"/>
        <v>3272.4</v>
      </c>
      <c r="K128" t="s">
        <v>703</v>
      </c>
      <c r="L128" t="s">
        <v>403</v>
      </c>
      <c r="M128" t="s">
        <v>261</v>
      </c>
      <c r="N128" t="s">
        <v>261</v>
      </c>
      <c r="O128" t="s">
        <v>261</v>
      </c>
      <c r="P128" t="s">
        <v>261</v>
      </c>
      <c r="Q128" t="s">
        <v>261</v>
      </c>
      <c r="R128" t="s">
        <v>261</v>
      </c>
      <c r="S128" t="s">
        <v>261</v>
      </c>
      <c r="T128" t="s">
        <v>261</v>
      </c>
      <c r="U128" t="s">
        <v>261</v>
      </c>
      <c r="V128" t="s">
        <v>261</v>
      </c>
    </row>
    <row r="129" spans="1:22">
      <c r="A129">
        <f t="shared" si="3"/>
        <v>128</v>
      </c>
      <c r="B129" s="101" t="s">
        <v>704</v>
      </c>
      <c r="C129" s="6">
        <v>44365</v>
      </c>
      <c r="D129" t="s">
        <v>705</v>
      </c>
      <c r="E129" t="s">
        <v>706</v>
      </c>
      <c r="F129" t="s">
        <v>707</v>
      </c>
      <c r="G129" t="s">
        <v>18</v>
      </c>
      <c r="H129">
        <v>1</v>
      </c>
      <c r="I129" s="8">
        <v>803.7</v>
      </c>
      <c r="J129" s="8">
        <f t="shared" ref="J129:J192" si="5">+I129/H129</f>
        <v>803.7</v>
      </c>
      <c r="K129" t="s">
        <v>708</v>
      </c>
      <c r="L129" t="s">
        <v>681</v>
      </c>
      <c r="M129" t="s">
        <v>261</v>
      </c>
      <c r="N129" t="s">
        <v>261</v>
      </c>
      <c r="O129" t="s">
        <v>261</v>
      </c>
      <c r="P129" t="s">
        <v>261</v>
      </c>
      <c r="Q129" t="s">
        <v>261</v>
      </c>
      <c r="R129" t="s">
        <v>261</v>
      </c>
      <c r="S129" t="s">
        <v>261</v>
      </c>
      <c r="T129" t="s">
        <v>261</v>
      </c>
      <c r="U129" t="s">
        <v>261</v>
      </c>
      <c r="V129" t="s">
        <v>261</v>
      </c>
    </row>
    <row r="130" spans="1:22">
      <c r="A130">
        <f t="shared" si="3"/>
        <v>129</v>
      </c>
      <c r="B130" s="10" t="s">
        <v>709</v>
      </c>
      <c r="C130" s="6">
        <v>44365</v>
      </c>
      <c r="D130" t="s">
        <v>710</v>
      </c>
      <c r="E130" t="s">
        <v>711</v>
      </c>
      <c r="F130" t="s">
        <v>712</v>
      </c>
      <c r="G130" t="s">
        <v>18</v>
      </c>
      <c r="H130">
        <v>1</v>
      </c>
      <c r="I130" s="8">
        <v>1108.6500000000001</v>
      </c>
      <c r="J130" s="8">
        <f t="shared" si="5"/>
        <v>1108.6500000000001</v>
      </c>
      <c r="K130" t="s">
        <v>713</v>
      </c>
      <c r="L130" t="s">
        <v>714</v>
      </c>
      <c r="M130" t="s">
        <v>261</v>
      </c>
      <c r="N130" t="s">
        <v>261</v>
      </c>
      <c r="O130" t="s">
        <v>261</v>
      </c>
      <c r="P130" t="s">
        <v>261</v>
      </c>
      <c r="Q130" t="s">
        <v>261</v>
      </c>
      <c r="R130" t="s">
        <v>261</v>
      </c>
      <c r="S130" t="s">
        <v>261</v>
      </c>
      <c r="T130" t="s">
        <v>261</v>
      </c>
      <c r="U130" t="s">
        <v>261</v>
      </c>
      <c r="V130" t="s">
        <v>261</v>
      </c>
    </row>
    <row r="131" spans="1:22">
      <c r="A131">
        <f t="shared" si="3"/>
        <v>130</v>
      </c>
      <c r="B131" s="10" t="s">
        <v>715</v>
      </c>
      <c r="C131" s="6">
        <v>44366</v>
      </c>
      <c r="D131" t="s">
        <v>716</v>
      </c>
      <c r="E131" t="s">
        <v>717</v>
      </c>
      <c r="F131" t="s">
        <v>718</v>
      </c>
      <c r="G131" t="s">
        <v>719</v>
      </c>
      <c r="H131">
        <v>1</v>
      </c>
      <c r="I131" s="8">
        <v>1000</v>
      </c>
      <c r="J131" s="8">
        <f t="shared" si="5"/>
        <v>1000</v>
      </c>
      <c r="K131" t="s">
        <v>720</v>
      </c>
      <c r="L131" t="s">
        <v>726</v>
      </c>
      <c r="M131" t="s">
        <v>261</v>
      </c>
      <c r="N131" t="s">
        <v>261</v>
      </c>
      <c r="O131" t="s">
        <v>261</v>
      </c>
      <c r="P131" t="s">
        <v>261</v>
      </c>
      <c r="Q131" t="s">
        <v>261</v>
      </c>
      <c r="R131" t="s">
        <v>261</v>
      </c>
      <c r="S131" t="s">
        <v>261</v>
      </c>
      <c r="T131" t="s">
        <v>261</v>
      </c>
      <c r="U131" t="s">
        <v>261</v>
      </c>
      <c r="V131" t="s">
        <v>261</v>
      </c>
    </row>
    <row r="132" spans="1:22">
      <c r="A132">
        <f t="shared" ref="A132:A195" si="6">+A131+1</f>
        <v>131</v>
      </c>
      <c r="B132" s="10" t="s">
        <v>721</v>
      </c>
      <c r="C132" s="6">
        <v>44368</v>
      </c>
      <c r="D132" t="s">
        <v>722</v>
      </c>
      <c r="E132" t="s">
        <v>723</v>
      </c>
      <c r="F132" t="s">
        <v>724</v>
      </c>
      <c r="G132" t="s">
        <v>18</v>
      </c>
      <c r="H132">
        <v>1</v>
      </c>
      <c r="I132" s="8">
        <v>960.45</v>
      </c>
      <c r="J132" s="8">
        <f t="shared" si="5"/>
        <v>960.45</v>
      </c>
      <c r="K132" t="s">
        <v>725</v>
      </c>
      <c r="L132" t="s">
        <v>727</v>
      </c>
      <c r="M132" t="s">
        <v>261</v>
      </c>
      <c r="N132" t="s">
        <v>261</v>
      </c>
      <c r="O132" t="s">
        <v>261</v>
      </c>
      <c r="P132" t="s">
        <v>261</v>
      </c>
      <c r="Q132" t="s">
        <v>261</v>
      </c>
      <c r="R132" t="s">
        <v>261</v>
      </c>
      <c r="S132" t="s">
        <v>261</v>
      </c>
      <c r="T132" t="s">
        <v>261</v>
      </c>
      <c r="U132" t="s">
        <v>261</v>
      </c>
      <c r="V132" t="s">
        <v>261</v>
      </c>
    </row>
    <row r="133" spans="1:22">
      <c r="A133">
        <f t="shared" si="6"/>
        <v>132</v>
      </c>
      <c r="B133" s="101" t="s">
        <v>728</v>
      </c>
      <c r="C133" s="6">
        <v>44369</v>
      </c>
      <c r="D133" t="s">
        <v>729</v>
      </c>
      <c r="E133" t="s">
        <v>730</v>
      </c>
      <c r="F133" t="s">
        <v>731</v>
      </c>
      <c r="G133" t="s">
        <v>18</v>
      </c>
      <c r="H133">
        <v>1</v>
      </c>
      <c r="I133" s="8">
        <v>817</v>
      </c>
      <c r="J133" s="8">
        <f t="shared" si="5"/>
        <v>817</v>
      </c>
      <c r="K133" t="s">
        <v>732</v>
      </c>
      <c r="L133" t="s">
        <v>738</v>
      </c>
      <c r="M133" t="s">
        <v>261</v>
      </c>
      <c r="N133" t="s">
        <v>261</v>
      </c>
      <c r="O133" t="s">
        <v>261</v>
      </c>
      <c r="P133" t="s">
        <v>261</v>
      </c>
      <c r="Q133" t="s">
        <v>261</v>
      </c>
      <c r="R133" t="s">
        <v>261</v>
      </c>
      <c r="S133" t="s">
        <v>261</v>
      </c>
      <c r="T133" t="s">
        <v>261</v>
      </c>
      <c r="U133" t="s">
        <v>261</v>
      </c>
      <c r="V133" t="s">
        <v>261</v>
      </c>
    </row>
    <row r="134" spans="1:22">
      <c r="A134">
        <f t="shared" si="6"/>
        <v>133</v>
      </c>
      <c r="B134" s="101" t="s">
        <v>733</v>
      </c>
      <c r="C134" s="6">
        <v>44356</v>
      </c>
      <c r="D134" t="s">
        <v>734</v>
      </c>
      <c r="E134" t="s">
        <v>735</v>
      </c>
      <c r="F134" t="s">
        <v>736</v>
      </c>
      <c r="G134" t="s">
        <v>18</v>
      </c>
      <c r="H134">
        <v>1</v>
      </c>
      <c r="I134" s="8">
        <v>961.6</v>
      </c>
      <c r="J134" s="8">
        <f t="shared" si="5"/>
        <v>961.6</v>
      </c>
      <c r="K134" t="s">
        <v>737</v>
      </c>
      <c r="L134" t="s">
        <v>681</v>
      </c>
      <c r="M134" t="s">
        <v>261</v>
      </c>
      <c r="N134" t="s">
        <v>261</v>
      </c>
      <c r="O134" t="s">
        <v>261</v>
      </c>
      <c r="P134" t="s">
        <v>261</v>
      </c>
      <c r="Q134" t="s">
        <v>261</v>
      </c>
      <c r="R134" t="s">
        <v>261</v>
      </c>
      <c r="S134" t="s">
        <v>261</v>
      </c>
      <c r="T134" t="s">
        <v>261</v>
      </c>
      <c r="U134" t="s">
        <v>261</v>
      </c>
      <c r="V134" t="s">
        <v>261</v>
      </c>
    </row>
    <row r="135" spans="1:22">
      <c r="A135">
        <f t="shared" si="6"/>
        <v>134</v>
      </c>
      <c r="B135" s="10" t="s">
        <v>739</v>
      </c>
      <c r="C135" s="6">
        <v>44357</v>
      </c>
      <c r="D135" t="s">
        <v>740</v>
      </c>
      <c r="E135" t="s">
        <v>741</v>
      </c>
      <c r="F135" t="s">
        <v>742</v>
      </c>
      <c r="G135" t="s">
        <v>18</v>
      </c>
      <c r="H135">
        <v>1</v>
      </c>
      <c r="I135" s="8">
        <v>2455.1999999999998</v>
      </c>
      <c r="J135" s="8">
        <f t="shared" si="5"/>
        <v>2455.1999999999998</v>
      </c>
      <c r="K135" t="s">
        <v>743</v>
      </c>
      <c r="L135" t="s">
        <v>747</v>
      </c>
      <c r="M135" t="s">
        <v>261</v>
      </c>
      <c r="N135" t="s">
        <v>261</v>
      </c>
      <c r="O135" t="s">
        <v>261</v>
      </c>
      <c r="P135" t="s">
        <v>261</v>
      </c>
      <c r="Q135" t="s">
        <v>261</v>
      </c>
      <c r="R135" t="s">
        <v>261</v>
      </c>
      <c r="S135" t="s">
        <v>261</v>
      </c>
      <c r="T135" t="s">
        <v>261</v>
      </c>
      <c r="U135" t="s">
        <v>261</v>
      </c>
      <c r="V135" t="s">
        <v>261</v>
      </c>
    </row>
    <row r="136" spans="1:22">
      <c r="A136" s="12">
        <f t="shared" si="6"/>
        <v>135</v>
      </c>
      <c r="B136" s="10" t="s">
        <v>1701</v>
      </c>
      <c r="C136" s="6">
        <v>44357</v>
      </c>
      <c r="D136" t="s">
        <v>744</v>
      </c>
      <c r="E136" t="s">
        <v>745</v>
      </c>
      <c r="F136" t="s">
        <v>746</v>
      </c>
      <c r="G136" t="s">
        <v>18</v>
      </c>
      <c r="H136">
        <v>3</v>
      </c>
      <c r="I136" s="8">
        <v>4710.75</v>
      </c>
      <c r="J136" s="8">
        <f t="shared" si="5"/>
        <v>1570.25</v>
      </c>
      <c r="K136" t="s">
        <v>1702</v>
      </c>
      <c r="L136" t="s">
        <v>753</v>
      </c>
      <c r="M136" t="s">
        <v>261</v>
      </c>
      <c r="N136" t="s">
        <v>261</v>
      </c>
      <c r="O136" t="s">
        <v>261</v>
      </c>
      <c r="P136" t="s">
        <v>261</v>
      </c>
      <c r="Q136" t="s">
        <v>261</v>
      </c>
      <c r="R136" t="s">
        <v>261</v>
      </c>
      <c r="S136" t="s">
        <v>261</v>
      </c>
      <c r="T136" t="s">
        <v>261</v>
      </c>
      <c r="U136" t="s">
        <v>261</v>
      </c>
      <c r="V136" t="s">
        <v>261</v>
      </c>
    </row>
    <row r="137" spans="1:22">
      <c r="A137" s="41">
        <f t="shared" si="6"/>
        <v>136</v>
      </c>
      <c r="B137" s="10" t="s">
        <v>748</v>
      </c>
      <c r="C137" s="6">
        <v>44372</v>
      </c>
      <c r="D137" t="s">
        <v>749</v>
      </c>
      <c r="E137" t="s">
        <v>750</v>
      </c>
      <c r="F137" t="s">
        <v>751</v>
      </c>
      <c r="G137" t="s">
        <v>18</v>
      </c>
      <c r="H137">
        <v>1</v>
      </c>
      <c r="I137" s="8">
        <v>1657.35</v>
      </c>
      <c r="J137" s="8">
        <f t="shared" si="5"/>
        <v>1657.35</v>
      </c>
      <c r="K137" t="s">
        <v>752</v>
      </c>
      <c r="L137" t="s">
        <v>769</v>
      </c>
      <c r="M137" t="s">
        <v>261</v>
      </c>
      <c r="N137" t="s">
        <v>261</v>
      </c>
      <c r="O137" t="s">
        <v>261</v>
      </c>
      <c r="P137" t="s">
        <v>261</v>
      </c>
      <c r="Q137" t="s">
        <v>261</v>
      </c>
      <c r="R137" t="s">
        <v>261</v>
      </c>
      <c r="S137" t="s">
        <v>261</v>
      </c>
      <c r="T137" t="s">
        <v>261</v>
      </c>
      <c r="U137" t="s">
        <v>261</v>
      </c>
      <c r="V137" t="s">
        <v>261</v>
      </c>
    </row>
    <row r="138" spans="1:22">
      <c r="A138">
        <f t="shared" si="6"/>
        <v>137</v>
      </c>
      <c r="B138" s="101" t="s">
        <v>754</v>
      </c>
      <c r="C138" s="6">
        <v>44372</v>
      </c>
      <c r="D138" t="s">
        <v>755</v>
      </c>
      <c r="E138" t="s">
        <v>756</v>
      </c>
      <c r="F138" t="s">
        <v>757</v>
      </c>
      <c r="G138" t="s">
        <v>18</v>
      </c>
      <c r="H138">
        <v>1</v>
      </c>
      <c r="I138" s="8">
        <v>803.7</v>
      </c>
      <c r="J138" s="8">
        <f t="shared" si="5"/>
        <v>803.7</v>
      </c>
      <c r="K138" t="s">
        <v>68</v>
      </c>
      <c r="L138" t="s">
        <v>681</v>
      </c>
      <c r="M138" t="s">
        <v>261</v>
      </c>
      <c r="N138" t="s">
        <v>261</v>
      </c>
      <c r="O138" t="s">
        <v>261</v>
      </c>
      <c r="P138" t="s">
        <v>261</v>
      </c>
      <c r="Q138" t="s">
        <v>261</v>
      </c>
      <c r="R138" t="s">
        <v>261</v>
      </c>
      <c r="S138" t="s">
        <v>261</v>
      </c>
      <c r="T138" t="s">
        <v>261</v>
      </c>
      <c r="U138" t="s">
        <v>261</v>
      </c>
      <c r="V138" t="s">
        <v>261</v>
      </c>
    </row>
    <row r="139" spans="1:22">
      <c r="A139">
        <f t="shared" si="6"/>
        <v>138</v>
      </c>
      <c r="B139" s="10" t="s">
        <v>758</v>
      </c>
      <c r="C139" s="6">
        <v>44372</v>
      </c>
      <c r="D139" t="s">
        <v>759</v>
      </c>
      <c r="E139" t="s">
        <v>760</v>
      </c>
      <c r="F139" t="s">
        <v>761</v>
      </c>
      <c r="G139" t="s">
        <v>18</v>
      </c>
      <c r="H139">
        <v>1</v>
      </c>
      <c r="I139" s="8">
        <v>684</v>
      </c>
      <c r="J139" s="8">
        <f t="shared" si="5"/>
        <v>684</v>
      </c>
      <c r="K139" t="s">
        <v>762</v>
      </c>
      <c r="L139" t="s">
        <v>768</v>
      </c>
      <c r="M139" t="s">
        <v>261</v>
      </c>
      <c r="N139" t="s">
        <v>261</v>
      </c>
      <c r="O139" t="s">
        <v>261</v>
      </c>
      <c r="P139" t="s">
        <v>261</v>
      </c>
      <c r="Q139" t="s">
        <v>261</v>
      </c>
      <c r="R139" t="s">
        <v>261</v>
      </c>
      <c r="S139" t="s">
        <v>261</v>
      </c>
      <c r="T139" t="s">
        <v>261</v>
      </c>
      <c r="U139" t="s">
        <v>261</v>
      </c>
      <c r="V139" t="s">
        <v>261</v>
      </c>
    </row>
    <row r="140" spans="1:22">
      <c r="A140">
        <f t="shared" si="6"/>
        <v>139</v>
      </c>
      <c r="B140" s="10" t="s">
        <v>763</v>
      </c>
      <c r="C140" s="6">
        <v>44373</v>
      </c>
      <c r="D140" t="s">
        <v>764</v>
      </c>
      <c r="E140" t="s">
        <v>765</v>
      </c>
      <c r="F140" t="s">
        <v>766</v>
      </c>
      <c r="G140" t="s">
        <v>18</v>
      </c>
      <c r="H140">
        <v>1</v>
      </c>
      <c r="I140" s="8">
        <v>1276</v>
      </c>
      <c r="J140" s="8">
        <f t="shared" si="5"/>
        <v>1276</v>
      </c>
      <c r="K140" t="s">
        <v>767</v>
      </c>
      <c r="L140" t="s">
        <v>281</v>
      </c>
      <c r="M140" t="s">
        <v>261</v>
      </c>
      <c r="N140" t="s">
        <v>261</v>
      </c>
      <c r="O140" t="s">
        <v>261</v>
      </c>
      <c r="P140" t="s">
        <v>261</v>
      </c>
      <c r="Q140" t="s">
        <v>261</v>
      </c>
      <c r="R140" t="s">
        <v>261</v>
      </c>
      <c r="S140" t="s">
        <v>261</v>
      </c>
      <c r="T140" t="s">
        <v>261</v>
      </c>
      <c r="U140" t="s">
        <v>261</v>
      </c>
      <c r="V140" t="s">
        <v>261</v>
      </c>
    </row>
    <row r="141" spans="1:22">
      <c r="A141">
        <f t="shared" si="6"/>
        <v>140</v>
      </c>
      <c r="B141" s="10" t="s">
        <v>770</v>
      </c>
      <c r="C141" s="6">
        <v>44375</v>
      </c>
      <c r="D141" t="s">
        <v>771</v>
      </c>
      <c r="E141" t="s">
        <v>772</v>
      </c>
      <c r="F141" t="s">
        <v>773</v>
      </c>
      <c r="G141" t="s">
        <v>18</v>
      </c>
      <c r="H141">
        <v>1</v>
      </c>
      <c r="I141" s="8">
        <v>1348.84</v>
      </c>
      <c r="J141" s="8">
        <f t="shared" si="5"/>
        <v>1348.84</v>
      </c>
      <c r="K141" t="s">
        <v>774</v>
      </c>
      <c r="L141" t="s">
        <v>403</v>
      </c>
      <c r="M141" t="s">
        <v>261</v>
      </c>
      <c r="N141" t="s">
        <v>261</v>
      </c>
      <c r="O141" t="s">
        <v>261</v>
      </c>
      <c r="P141" t="s">
        <v>261</v>
      </c>
      <c r="Q141" t="s">
        <v>261</v>
      </c>
      <c r="R141" t="s">
        <v>261</v>
      </c>
      <c r="S141" t="s">
        <v>261</v>
      </c>
      <c r="T141" t="s">
        <v>261</v>
      </c>
      <c r="U141" t="s">
        <v>261</v>
      </c>
      <c r="V141" t="s">
        <v>261</v>
      </c>
    </row>
    <row r="142" spans="1:22">
      <c r="A142">
        <f t="shared" si="6"/>
        <v>141</v>
      </c>
      <c r="B142" s="10" t="s">
        <v>775</v>
      </c>
      <c r="C142" s="6">
        <v>44375</v>
      </c>
      <c r="D142" t="s">
        <v>776</v>
      </c>
      <c r="E142" t="s">
        <v>777</v>
      </c>
      <c r="F142" t="s">
        <v>778</v>
      </c>
      <c r="G142" t="s">
        <v>18</v>
      </c>
      <c r="H142">
        <v>1</v>
      </c>
      <c r="I142" s="8">
        <v>1037.4000000000001</v>
      </c>
      <c r="J142" s="8">
        <f t="shared" si="5"/>
        <v>1037.4000000000001</v>
      </c>
      <c r="K142" t="s">
        <v>779</v>
      </c>
      <c r="L142" t="s">
        <v>792</v>
      </c>
      <c r="M142" t="s">
        <v>261</v>
      </c>
      <c r="N142" t="s">
        <v>261</v>
      </c>
      <c r="O142" t="s">
        <v>261</v>
      </c>
      <c r="P142" t="s">
        <v>261</v>
      </c>
      <c r="Q142" t="s">
        <v>261</v>
      </c>
      <c r="R142" t="s">
        <v>261</v>
      </c>
      <c r="S142" t="s">
        <v>261</v>
      </c>
      <c r="T142" t="s">
        <v>261</v>
      </c>
      <c r="U142" t="s">
        <v>261</v>
      </c>
      <c r="V142" t="s">
        <v>261</v>
      </c>
    </row>
    <row r="143" spans="1:22">
      <c r="A143">
        <f t="shared" si="6"/>
        <v>142</v>
      </c>
      <c r="B143" s="10" t="s">
        <v>780</v>
      </c>
      <c r="C143" s="6">
        <v>44375</v>
      </c>
      <c r="D143" t="s">
        <v>781</v>
      </c>
      <c r="E143" t="s">
        <v>782</v>
      </c>
      <c r="F143" t="s">
        <v>783</v>
      </c>
      <c r="G143" t="s">
        <v>18</v>
      </c>
      <c r="H143">
        <v>1</v>
      </c>
      <c r="I143" s="8">
        <v>650</v>
      </c>
      <c r="J143" s="8">
        <f t="shared" si="5"/>
        <v>650</v>
      </c>
      <c r="K143" t="s">
        <v>784</v>
      </c>
      <c r="L143" t="s">
        <v>804</v>
      </c>
      <c r="M143" t="s">
        <v>261</v>
      </c>
      <c r="N143" t="s">
        <v>261</v>
      </c>
      <c r="O143" t="s">
        <v>261</v>
      </c>
      <c r="P143" t="s">
        <v>261</v>
      </c>
      <c r="Q143" t="s">
        <v>261</v>
      </c>
      <c r="R143" t="s">
        <v>261</v>
      </c>
      <c r="S143" t="s">
        <v>261</v>
      </c>
      <c r="T143" t="s">
        <v>261</v>
      </c>
      <c r="U143" t="s">
        <v>261</v>
      </c>
      <c r="V143" t="s">
        <v>261</v>
      </c>
    </row>
    <row r="144" spans="1:22">
      <c r="A144">
        <f t="shared" si="6"/>
        <v>143</v>
      </c>
      <c r="B144" s="101" t="s">
        <v>785</v>
      </c>
      <c r="C144" s="6">
        <v>44371</v>
      </c>
      <c r="D144" t="s">
        <v>786</v>
      </c>
      <c r="G144" t="s">
        <v>787</v>
      </c>
      <c r="H144">
        <v>1</v>
      </c>
      <c r="I144" s="8">
        <v>1030</v>
      </c>
      <c r="J144" s="8">
        <f t="shared" si="5"/>
        <v>1030</v>
      </c>
      <c r="K144" t="s">
        <v>788</v>
      </c>
      <c r="L144" t="s">
        <v>789</v>
      </c>
      <c r="M144" t="s">
        <v>261</v>
      </c>
      <c r="N144" t="s">
        <v>261</v>
      </c>
      <c r="O144" t="s">
        <v>261</v>
      </c>
      <c r="P144" t="s">
        <v>261</v>
      </c>
      <c r="Q144" t="s">
        <v>261</v>
      </c>
      <c r="R144" t="s">
        <v>261</v>
      </c>
      <c r="S144" t="s">
        <v>261</v>
      </c>
      <c r="T144" t="s">
        <v>261</v>
      </c>
      <c r="U144" t="s">
        <v>261</v>
      </c>
      <c r="V144" t="s">
        <v>261</v>
      </c>
    </row>
    <row r="145" spans="1:22">
      <c r="A145" s="12">
        <f t="shared" si="6"/>
        <v>144</v>
      </c>
      <c r="B145" s="101" t="s">
        <v>2210</v>
      </c>
      <c r="C145" s="6">
        <v>44371</v>
      </c>
      <c r="D145" t="s">
        <v>790</v>
      </c>
      <c r="G145" t="s">
        <v>787</v>
      </c>
      <c r="H145">
        <v>2</v>
      </c>
      <c r="I145" s="8">
        <v>2021.2</v>
      </c>
      <c r="J145" s="8">
        <f t="shared" si="5"/>
        <v>1010.6</v>
      </c>
      <c r="K145" t="s">
        <v>2211</v>
      </c>
      <c r="L145" t="s">
        <v>789</v>
      </c>
      <c r="M145" t="s">
        <v>261</v>
      </c>
      <c r="N145" t="s">
        <v>261</v>
      </c>
      <c r="O145" t="s">
        <v>261</v>
      </c>
      <c r="P145" t="s">
        <v>261</v>
      </c>
      <c r="Q145" t="s">
        <v>261</v>
      </c>
      <c r="R145" t="s">
        <v>261</v>
      </c>
      <c r="S145" t="s">
        <v>261</v>
      </c>
      <c r="T145" t="s">
        <v>261</v>
      </c>
      <c r="U145" t="s">
        <v>261</v>
      </c>
      <c r="V145" t="s">
        <v>261</v>
      </c>
    </row>
    <row r="146" spans="1:22">
      <c r="A146">
        <f t="shared" si="6"/>
        <v>145</v>
      </c>
      <c r="B146" s="10" t="s">
        <v>793</v>
      </c>
      <c r="C146" s="6">
        <v>44377</v>
      </c>
      <c r="D146" t="s">
        <v>794</v>
      </c>
      <c r="E146" t="s">
        <v>795</v>
      </c>
      <c r="F146" t="s">
        <v>796</v>
      </c>
      <c r="G146" t="s">
        <v>18</v>
      </c>
      <c r="H146">
        <v>1</v>
      </c>
      <c r="I146" s="8">
        <v>1201</v>
      </c>
      <c r="J146" s="8">
        <f t="shared" si="5"/>
        <v>1201</v>
      </c>
      <c r="K146" t="s">
        <v>797</v>
      </c>
      <c r="L146" t="s">
        <v>798</v>
      </c>
      <c r="M146" t="s">
        <v>261</v>
      </c>
      <c r="N146" t="s">
        <v>261</v>
      </c>
      <c r="O146" t="s">
        <v>261</v>
      </c>
      <c r="P146" t="s">
        <v>261</v>
      </c>
      <c r="Q146" t="s">
        <v>261</v>
      </c>
      <c r="R146" t="s">
        <v>261</v>
      </c>
      <c r="S146" t="s">
        <v>261</v>
      </c>
      <c r="T146" t="s">
        <v>261</v>
      </c>
      <c r="U146" t="s">
        <v>261</v>
      </c>
      <c r="V146" t="s">
        <v>261</v>
      </c>
    </row>
    <row r="147" spans="1:22">
      <c r="A147" s="21">
        <f t="shared" si="6"/>
        <v>146</v>
      </c>
      <c r="B147" s="10" t="s">
        <v>799</v>
      </c>
      <c r="C147" s="6">
        <v>44378</v>
      </c>
      <c r="D147" t="s">
        <v>800</v>
      </c>
      <c r="E147" t="s">
        <v>801</v>
      </c>
      <c r="F147" t="s">
        <v>802</v>
      </c>
      <c r="G147" t="s">
        <v>18</v>
      </c>
      <c r="H147">
        <v>1</v>
      </c>
      <c r="I147" s="8">
        <v>1082.4000000000001</v>
      </c>
      <c r="J147" s="8">
        <f t="shared" si="5"/>
        <v>1082.4000000000001</v>
      </c>
      <c r="K147" t="s">
        <v>803</v>
      </c>
      <c r="L147" t="s">
        <v>865</v>
      </c>
      <c r="M147" t="s">
        <v>261</v>
      </c>
      <c r="N147" t="s">
        <v>261</v>
      </c>
      <c r="O147" t="s">
        <v>261</v>
      </c>
      <c r="P147" t="s">
        <v>261</v>
      </c>
      <c r="Q147" t="s">
        <v>261</v>
      </c>
      <c r="R147" t="s">
        <v>261</v>
      </c>
      <c r="S147" t="s">
        <v>261</v>
      </c>
      <c r="T147" t="s">
        <v>261</v>
      </c>
      <c r="U147" t="s">
        <v>261</v>
      </c>
      <c r="V147" t="s">
        <v>261</v>
      </c>
    </row>
    <row r="148" spans="1:22">
      <c r="A148" s="12">
        <f t="shared" si="6"/>
        <v>147</v>
      </c>
      <c r="B148" s="10" t="s">
        <v>951</v>
      </c>
      <c r="C148" s="6">
        <v>44368</v>
      </c>
      <c r="D148" t="s">
        <v>805</v>
      </c>
      <c r="E148" t="s">
        <v>806</v>
      </c>
      <c r="F148" t="s">
        <v>807</v>
      </c>
      <c r="G148" t="s">
        <v>18</v>
      </c>
      <c r="H148">
        <v>2</v>
      </c>
      <c r="I148" s="8">
        <v>2703.25</v>
      </c>
      <c r="J148" s="8">
        <f t="shared" si="5"/>
        <v>1351.625</v>
      </c>
      <c r="K148" t="s">
        <v>808</v>
      </c>
      <c r="L148" t="s">
        <v>571</v>
      </c>
      <c r="M148" t="s">
        <v>261</v>
      </c>
      <c r="N148" t="s">
        <v>261</v>
      </c>
      <c r="O148" t="s">
        <v>261</v>
      </c>
      <c r="P148" t="s">
        <v>261</v>
      </c>
      <c r="Q148" t="s">
        <v>261</v>
      </c>
      <c r="R148" t="s">
        <v>261</v>
      </c>
      <c r="S148" t="s">
        <v>261</v>
      </c>
      <c r="T148" t="s">
        <v>261</v>
      </c>
      <c r="U148" t="s">
        <v>261</v>
      </c>
      <c r="V148" t="s">
        <v>261</v>
      </c>
    </row>
    <row r="149" spans="1:22">
      <c r="A149" s="41">
        <f t="shared" si="6"/>
        <v>148</v>
      </c>
      <c r="B149" s="10" t="s">
        <v>810</v>
      </c>
      <c r="C149" s="6">
        <v>44379</v>
      </c>
      <c r="D149" t="s">
        <v>811</v>
      </c>
      <c r="E149" t="s">
        <v>812</v>
      </c>
      <c r="F149" t="s">
        <v>813</v>
      </c>
      <c r="G149" t="s">
        <v>18</v>
      </c>
      <c r="H149">
        <v>1</v>
      </c>
      <c r="I149" s="8">
        <v>914.85</v>
      </c>
      <c r="J149" s="8">
        <f t="shared" si="5"/>
        <v>914.85</v>
      </c>
      <c r="K149" t="s">
        <v>814</v>
      </c>
      <c r="L149" t="s">
        <v>835</v>
      </c>
      <c r="M149" t="s">
        <v>261</v>
      </c>
      <c r="N149" t="s">
        <v>261</v>
      </c>
      <c r="O149" t="s">
        <v>261</v>
      </c>
      <c r="P149" t="s">
        <v>261</v>
      </c>
      <c r="Q149" t="s">
        <v>261</v>
      </c>
      <c r="R149" t="s">
        <v>261</v>
      </c>
      <c r="S149" t="s">
        <v>261</v>
      </c>
      <c r="T149" t="s">
        <v>261</v>
      </c>
      <c r="U149" t="s">
        <v>261</v>
      </c>
      <c r="V149" t="s">
        <v>261</v>
      </c>
    </row>
    <row r="150" spans="1:22">
      <c r="A150">
        <f t="shared" si="6"/>
        <v>149</v>
      </c>
      <c r="B150" s="101" t="s">
        <v>815</v>
      </c>
      <c r="C150" s="6">
        <v>44379</v>
      </c>
      <c r="D150" t="s">
        <v>816</v>
      </c>
      <c r="E150" t="s">
        <v>817</v>
      </c>
      <c r="F150" t="s">
        <v>818</v>
      </c>
      <c r="G150" t="s">
        <v>18</v>
      </c>
      <c r="H150">
        <v>1</v>
      </c>
      <c r="I150" s="8">
        <v>803.7</v>
      </c>
      <c r="J150" s="8">
        <f t="shared" si="5"/>
        <v>803.7</v>
      </c>
      <c r="K150" t="s">
        <v>68</v>
      </c>
      <c r="L150" t="s">
        <v>824</v>
      </c>
      <c r="M150" t="s">
        <v>261</v>
      </c>
      <c r="N150" t="s">
        <v>261</v>
      </c>
      <c r="O150" t="s">
        <v>261</v>
      </c>
      <c r="P150" t="s">
        <v>261</v>
      </c>
      <c r="Q150" t="s">
        <v>261</v>
      </c>
      <c r="R150" t="s">
        <v>261</v>
      </c>
      <c r="S150" t="s">
        <v>261</v>
      </c>
      <c r="T150" t="s">
        <v>261</v>
      </c>
      <c r="U150" t="s">
        <v>261</v>
      </c>
      <c r="V150" t="s">
        <v>261</v>
      </c>
    </row>
    <row r="151" spans="1:22">
      <c r="A151">
        <f t="shared" si="6"/>
        <v>150</v>
      </c>
      <c r="B151" s="10" t="s">
        <v>819</v>
      </c>
      <c r="C151" s="6">
        <v>44380</v>
      </c>
      <c r="D151" t="s">
        <v>820</v>
      </c>
      <c r="E151" t="s">
        <v>821</v>
      </c>
      <c r="F151" t="s">
        <v>822</v>
      </c>
      <c r="G151" t="s">
        <v>18</v>
      </c>
      <c r="H151">
        <v>1</v>
      </c>
      <c r="I151" s="8">
        <v>1361.35</v>
      </c>
      <c r="J151" s="8">
        <f t="shared" si="5"/>
        <v>1361.35</v>
      </c>
      <c r="K151" t="s">
        <v>823</v>
      </c>
      <c r="L151" t="s">
        <v>836</v>
      </c>
      <c r="M151" t="s">
        <v>261</v>
      </c>
      <c r="N151" t="s">
        <v>261</v>
      </c>
      <c r="O151" t="s">
        <v>261</v>
      </c>
      <c r="P151" t="s">
        <v>261</v>
      </c>
      <c r="Q151" t="s">
        <v>261</v>
      </c>
      <c r="R151" t="s">
        <v>261</v>
      </c>
      <c r="S151" t="s">
        <v>261</v>
      </c>
      <c r="T151" t="s">
        <v>261</v>
      </c>
      <c r="U151" t="s">
        <v>261</v>
      </c>
      <c r="V151" t="s">
        <v>261</v>
      </c>
    </row>
    <row r="152" spans="1:22">
      <c r="A152">
        <f t="shared" si="6"/>
        <v>151</v>
      </c>
      <c r="B152" s="10" t="s">
        <v>825</v>
      </c>
      <c r="C152" s="6">
        <v>44382</v>
      </c>
      <c r="D152" t="s">
        <v>826</v>
      </c>
      <c r="E152" t="s">
        <v>827</v>
      </c>
      <c r="F152" t="s">
        <v>828</v>
      </c>
      <c r="G152" t="s">
        <v>18</v>
      </c>
      <c r="H152">
        <v>1</v>
      </c>
      <c r="I152" s="8">
        <v>1311</v>
      </c>
      <c r="J152" s="8">
        <f t="shared" si="5"/>
        <v>1311</v>
      </c>
      <c r="K152" t="s">
        <v>829</v>
      </c>
      <c r="L152" t="s">
        <v>403</v>
      </c>
      <c r="M152" t="s">
        <v>261</v>
      </c>
      <c r="N152" t="s">
        <v>261</v>
      </c>
      <c r="O152" t="s">
        <v>261</v>
      </c>
      <c r="P152" t="s">
        <v>261</v>
      </c>
      <c r="Q152" t="s">
        <v>261</v>
      </c>
      <c r="R152" t="s">
        <v>261</v>
      </c>
      <c r="S152" t="s">
        <v>261</v>
      </c>
      <c r="T152" t="s">
        <v>261</v>
      </c>
      <c r="U152" t="s">
        <v>261</v>
      </c>
      <c r="V152" t="s">
        <v>261</v>
      </c>
    </row>
    <row r="153" spans="1:22">
      <c r="A153">
        <f t="shared" si="6"/>
        <v>152</v>
      </c>
      <c r="B153" s="10" t="s">
        <v>830</v>
      </c>
      <c r="C153" s="6">
        <v>44382</v>
      </c>
      <c r="D153" t="s">
        <v>831</v>
      </c>
      <c r="E153" t="s">
        <v>832</v>
      </c>
      <c r="F153" t="s">
        <v>833</v>
      </c>
      <c r="G153" t="s">
        <v>18</v>
      </c>
      <c r="H153">
        <v>1</v>
      </c>
      <c r="I153" s="8">
        <v>649.79999999999995</v>
      </c>
      <c r="J153" s="8">
        <f t="shared" si="5"/>
        <v>649.79999999999995</v>
      </c>
      <c r="K153" t="s">
        <v>84</v>
      </c>
      <c r="L153" t="s">
        <v>834</v>
      </c>
      <c r="M153" t="s">
        <v>261</v>
      </c>
      <c r="N153" t="s">
        <v>261</v>
      </c>
      <c r="O153" t="s">
        <v>261</v>
      </c>
      <c r="P153" t="s">
        <v>261</v>
      </c>
      <c r="Q153" t="s">
        <v>261</v>
      </c>
      <c r="R153" t="s">
        <v>261</v>
      </c>
      <c r="S153" t="s">
        <v>261</v>
      </c>
      <c r="T153" t="s">
        <v>261</v>
      </c>
      <c r="U153" t="s">
        <v>261</v>
      </c>
      <c r="V153" t="s">
        <v>261</v>
      </c>
    </row>
    <row r="154" spans="1:22">
      <c r="A154">
        <f t="shared" si="6"/>
        <v>153</v>
      </c>
      <c r="B154" s="10" t="s">
        <v>837</v>
      </c>
      <c r="C154" s="6">
        <v>44383</v>
      </c>
      <c r="D154" t="s">
        <v>838</v>
      </c>
      <c r="E154" t="s">
        <v>839</v>
      </c>
      <c r="F154" t="s">
        <v>840</v>
      </c>
      <c r="G154" t="s">
        <v>18</v>
      </c>
      <c r="H154">
        <v>1</v>
      </c>
      <c r="I154" s="8">
        <v>2500</v>
      </c>
      <c r="J154" s="8">
        <f t="shared" si="5"/>
        <v>2500</v>
      </c>
      <c r="K154" t="s">
        <v>841</v>
      </c>
      <c r="L154" t="s">
        <v>864</v>
      </c>
      <c r="M154" t="s">
        <v>261</v>
      </c>
      <c r="N154" t="s">
        <v>261</v>
      </c>
      <c r="O154" t="s">
        <v>261</v>
      </c>
      <c r="P154" t="s">
        <v>261</v>
      </c>
      <c r="Q154" t="s">
        <v>261</v>
      </c>
      <c r="R154" t="s">
        <v>261</v>
      </c>
      <c r="S154" t="s">
        <v>261</v>
      </c>
      <c r="T154" t="s">
        <v>261</v>
      </c>
      <c r="U154" t="s">
        <v>261</v>
      </c>
      <c r="V154" t="s">
        <v>261</v>
      </c>
    </row>
    <row r="155" spans="1:22">
      <c r="A155">
        <f t="shared" si="6"/>
        <v>154</v>
      </c>
      <c r="B155" s="10" t="s">
        <v>842</v>
      </c>
      <c r="C155" s="6">
        <v>44383</v>
      </c>
      <c r="D155" t="s">
        <v>843</v>
      </c>
      <c r="E155" t="s">
        <v>844</v>
      </c>
      <c r="F155" s="11" t="s">
        <v>845</v>
      </c>
      <c r="G155" t="s">
        <v>18</v>
      </c>
      <c r="H155">
        <v>1</v>
      </c>
      <c r="I155" s="8">
        <v>1223.5999999999999</v>
      </c>
      <c r="J155" s="8">
        <f t="shared" si="5"/>
        <v>1223.5999999999999</v>
      </c>
      <c r="K155" t="s">
        <v>846</v>
      </c>
      <c r="L155" t="s">
        <v>588</v>
      </c>
      <c r="M155" t="s">
        <v>261</v>
      </c>
      <c r="N155" t="s">
        <v>261</v>
      </c>
      <c r="O155" t="s">
        <v>261</v>
      </c>
      <c r="P155" t="s">
        <v>261</v>
      </c>
      <c r="Q155" t="s">
        <v>261</v>
      </c>
      <c r="R155" t="s">
        <v>261</v>
      </c>
      <c r="S155" t="s">
        <v>261</v>
      </c>
      <c r="T155" t="s">
        <v>261</v>
      </c>
      <c r="U155" t="s">
        <v>261</v>
      </c>
      <c r="V155" t="s">
        <v>261</v>
      </c>
    </row>
    <row r="156" spans="1:22">
      <c r="A156">
        <f t="shared" si="6"/>
        <v>155</v>
      </c>
      <c r="B156" s="10" t="s">
        <v>847</v>
      </c>
      <c r="C156" s="6">
        <v>44372</v>
      </c>
      <c r="D156" t="s">
        <v>848</v>
      </c>
      <c r="E156" t="s">
        <v>849</v>
      </c>
      <c r="F156" t="s">
        <v>850</v>
      </c>
      <c r="G156" t="s">
        <v>18</v>
      </c>
      <c r="H156">
        <v>1</v>
      </c>
      <c r="I156" s="8">
        <v>1388.47</v>
      </c>
      <c r="J156" s="8">
        <f t="shared" si="5"/>
        <v>1388.47</v>
      </c>
      <c r="K156" t="s">
        <v>851</v>
      </c>
      <c r="L156" t="s">
        <v>852</v>
      </c>
      <c r="M156" t="s">
        <v>261</v>
      </c>
      <c r="N156" t="s">
        <v>261</v>
      </c>
      <c r="O156" t="s">
        <v>261</v>
      </c>
      <c r="P156" t="s">
        <v>261</v>
      </c>
      <c r="Q156" t="s">
        <v>261</v>
      </c>
      <c r="R156" t="s">
        <v>261</v>
      </c>
      <c r="S156" t="s">
        <v>261</v>
      </c>
      <c r="T156" t="s">
        <v>261</v>
      </c>
      <c r="U156" t="s">
        <v>261</v>
      </c>
      <c r="V156" t="s">
        <v>261</v>
      </c>
    </row>
    <row r="157" spans="1:22">
      <c r="A157">
        <f t="shared" si="6"/>
        <v>156</v>
      </c>
      <c r="B157" s="10" t="s">
        <v>853</v>
      </c>
      <c r="C157" s="6">
        <v>44384</v>
      </c>
      <c r="D157" t="s">
        <v>854</v>
      </c>
      <c r="E157" t="s">
        <v>855</v>
      </c>
      <c r="F157" t="s">
        <v>856</v>
      </c>
      <c r="G157" t="s">
        <v>18</v>
      </c>
      <c r="H157">
        <v>1</v>
      </c>
      <c r="I157" s="8">
        <v>535.79999999999995</v>
      </c>
      <c r="J157" s="8">
        <f t="shared" si="5"/>
        <v>535.79999999999995</v>
      </c>
      <c r="K157" t="s">
        <v>857</v>
      </c>
      <c r="L157" t="s">
        <v>863</v>
      </c>
      <c r="M157" t="s">
        <v>261</v>
      </c>
      <c r="N157" t="s">
        <v>261</v>
      </c>
      <c r="O157" t="s">
        <v>261</v>
      </c>
      <c r="P157" t="s">
        <v>261</v>
      </c>
      <c r="Q157" t="s">
        <v>261</v>
      </c>
      <c r="R157" t="s">
        <v>261</v>
      </c>
      <c r="S157" t="s">
        <v>261</v>
      </c>
      <c r="T157" t="s">
        <v>261</v>
      </c>
      <c r="U157" t="s">
        <v>261</v>
      </c>
      <c r="V157" t="s">
        <v>261</v>
      </c>
    </row>
    <row r="158" spans="1:22">
      <c r="A158">
        <f t="shared" si="6"/>
        <v>157</v>
      </c>
      <c r="B158" s="10" t="s">
        <v>858</v>
      </c>
      <c r="C158" s="6">
        <v>44384</v>
      </c>
      <c r="D158" t="s">
        <v>859</v>
      </c>
      <c r="E158" t="s">
        <v>860</v>
      </c>
      <c r="F158" t="s">
        <v>861</v>
      </c>
      <c r="G158" t="s">
        <v>18</v>
      </c>
      <c r="H158">
        <v>1</v>
      </c>
      <c r="I158" s="8">
        <v>1077.3</v>
      </c>
      <c r="J158" s="8">
        <f t="shared" si="5"/>
        <v>1077.3</v>
      </c>
      <c r="K158" t="s">
        <v>862</v>
      </c>
      <c r="L158" t="s">
        <v>870</v>
      </c>
      <c r="M158" t="s">
        <v>261</v>
      </c>
      <c r="N158" t="s">
        <v>261</v>
      </c>
      <c r="O158" t="s">
        <v>261</v>
      </c>
      <c r="P158" t="s">
        <v>261</v>
      </c>
      <c r="Q158" t="s">
        <v>261</v>
      </c>
      <c r="R158" t="s">
        <v>261</v>
      </c>
      <c r="S158" t="s">
        <v>261</v>
      </c>
      <c r="T158" t="s">
        <v>261</v>
      </c>
      <c r="U158" t="s">
        <v>261</v>
      </c>
      <c r="V158" t="s">
        <v>261</v>
      </c>
    </row>
    <row r="159" spans="1:22">
      <c r="A159" s="79">
        <f t="shared" si="6"/>
        <v>158</v>
      </c>
      <c r="B159" s="10" t="s">
        <v>2295</v>
      </c>
      <c r="C159" s="6">
        <v>44385</v>
      </c>
      <c r="D159" t="s">
        <v>866</v>
      </c>
      <c r="E159" t="s">
        <v>867</v>
      </c>
      <c r="F159" s="13" t="s">
        <v>868</v>
      </c>
      <c r="G159" t="s">
        <v>18</v>
      </c>
      <c r="H159">
        <v>2</v>
      </c>
      <c r="I159" s="8">
        <v>2066.4</v>
      </c>
      <c r="J159" s="8">
        <f t="shared" si="5"/>
        <v>1033.2</v>
      </c>
      <c r="K159" t="s">
        <v>2296</v>
      </c>
      <c r="L159" t="s">
        <v>1457</v>
      </c>
      <c r="M159" t="s">
        <v>261</v>
      </c>
      <c r="N159" t="s">
        <v>261</v>
      </c>
      <c r="O159" t="s">
        <v>261</v>
      </c>
      <c r="P159" t="s">
        <v>261</v>
      </c>
      <c r="Q159" t="s">
        <v>261</v>
      </c>
      <c r="R159" t="s">
        <v>261</v>
      </c>
      <c r="S159" t="s">
        <v>261</v>
      </c>
      <c r="T159" t="s">
        <v>261</v>
      </c>
      <c r="U159" t="s">
        <v>261</v>
      </c>
      <c r="V159" t="s">
        <v>261</v>
      </c>
    </row>
    <row r="160" spans="1:22">
      <c r="A160">
        <f t="shared" si="6"/>
        <v>159</v>
      </c>
      <c r="B160" s="101" t="s">
        <v>871</v>
      </c>
      <c r="C160" s="6">
        <v>44386</v>
      </c>
      <c r="D160" t="s">
        <v>872</v>
      </c>
      <c r="E160" t="s">
        <v>873</v>
      </c>
      <c r="F160" t="s">
        <v>874</v>
      </c>
      <c r="G160" t="s">
        <v>18</v>
      </c>
      <c r="H160">
        <v>1</v>
      </c>
      <c r="I160" s="8">
        <v>632.70000000000005</v>
      </c>
      <c r="J160" s="8">
        <f t="shared" si="5"/>
        <v>632.70000000000005</v>
      </c>
      <c r="K160" t="s">
        <v>875</v>
      </c>
      <c r="L160" t="s">
        <v>907</v>
      </c>
      <c r="M160" t="s">
        <v>261</v>
      </c>
      <c r="N160" t="s">
        <v>261</v>
      </c>
      <c r="O160" t="s">
        <v>261</v>
      </c>
      <c r="P160" t="s">
        <v>261</v>
      </c>
      <c r="Q160" t="s">
        <v>261</v>
      </c>
      <c r="R160" t="s">
        <v>261</v>
      </c>
      <c r="S160" t="s">
        <v>261</v>
      </c>
      <c r="T160" t="s">
        <v>261</v>
      </c>
      <c r="U160" t="s">
        <v>261</v>
      </c>
      <c r="V160" t="s">
        <v>261</v>
      </c>
    </row>
    <row r="161" spans="1:22">
      <c r="A161">
        <f t="shared" si="6"/>
        <v>160</v>
      </c>
      <c r="B161" s="101" t="s">
        <v>876</v>
      </c>
      <c r="C161" s="6">
        <v>44386</v>
      </c>
      <c r="D161" t="s">
        <v>877</v>
      </c>
      <c r="E161" t="s">
        <v>878</v>
      </c>
      <c r="F161" t="s">
        <v>879</v>
      </c>
      <c r="G161" t="s">
        <v>18</v>
      </c>
      <c r="H161">
        <v>1</v>
      </c>
      <c r="I161" s="8">
        <v>1426.5</v>
      </c>
      <c r="J161" s="8">
        <f t="shared" si="5"/>
        <v>1426.5</v>
      </c>
      <c r="K161" t="s">
        <v>880</v>
      </c>
      <c r="L161" t="s">
        <v>886</v>
      </c>
      <c r="M161" t="s">
        <v>261</v>
      </c>
      <c r="N161" t="s">
        <v>261</v>
      </c>
      <c r="O161" t="s">
        <v>261</v>
      </c>
      <c r="P161" t="s">
        <v>261</v>
      </c>
      <c r="Q161" t="s">
        <v>261</v>
      </c>
      <c r="R161" t="s">
        <v>261</v>
      </c>
      <c r="S161" t="s">
        <v>261</v>
      </c>
      <c r="T161" t="s">
        <v>261</v>
      </c>
      <c r="U161" t="s">
        <v>261</v>
      </c>
      <c r="V161" t="s">
        <v>261</v>
      </c>
    </row>
    <row r="162" spans="1:22">
      <c r="A162" s="21">
        <f t="shared" si="6"/>
        <v>161</v>
      </c>
      <c r="B162" s="10" t="s">
        <v>881</v>
      </c>
      <c r="C162" s="6">
        <v>44387</v>
      </c>
      <c r="D162" t="s">
        <v>882</v>
      </c>
      <c r="E162" t="s">
        <v>883</v>
      </c>
      <c r="F162" t="s">
        <v>884</v>
      </c>
      <c r="G162" t="s">
        <v>18</v>
      </c>
      <c r="H162">
        <v>1</v>
      </c>
      <c r="I162" s="8">
        <v>716.4</v>
      </c>
      <c r="J162" s="8">
        <f t="shared" si="5"/>
        <v>716.4</v>
      </c>
      <c r="K162" t="s">
        <v>885</v>
      </c>
      <c r="L162" t="s">
        <v>908</v>
      </c>
      <c r="M162" t="s">
        <v>261</v>
      </c>
      <c r="N162" t="s">
        <v>261</v>
      </c>
      <c r="O162" t="s">
        <v>261</v>
      </c>
      <c r="P162" t="s">
        <v>261</v>
      </c>
      <c r="Q162" t="s">
        <v>261</v>
      </c>
      <c r="R162" t="s">
        <v>261</v>
      </c>
      <c r="S162" t="s">
        <v>261</v>
      </c>
      <c r="T162" t="s">
        <v>261</v>
      </c>
      <c r="U162" t="s">
        <v>261</v>
      </c>
      <c r="V162" t="s">
        <v>261</v>
      </c>
    </row>
    <row r="163" spans="1:22">
      <c r="A163" s="41">
        <f t="shared" si="6"/>
        <v>162</v>
      </c>
      <c r="B163" s="10" t="s">
        <v>887</v>
      </c>
      <c r="C163" s="6">
        <v>44398</v>
      </c>
      <c r="D163" t="s">
        <v>888</v>
      </c>
      <c r="E163" t="s">
        <v>889</v>
      </c>
      <c r="F163" t="s">
        <v>890</v>
      </c>
      <c r="G163" t="s">
        <v>18</v>
      </c>
      <c r="H163">
        <v>1</v>
      </c>
      <c r="I163" s="8">
        <v>399.6</v>
      </c>
      <c r="J163" s="8">
        <f t="shared" si="5"/>
        <v>399.6</v>
      </c>
      <c r="K163" t="s">
        <v>891</v>
      </c>
      <c r="L163" t="s">
        <v>892</v>
      </c>
      <c r="M163" t="s">
        <v>261</v>
      </c>
      <c r="N163" t="s">
        <v>261</v>
      </c>
      <c r="O163" t="s">
        <v>261</v>
      </c>
      <c r="P163" t="s">
        <v>261</v>
      </c>
      <c r="Q163" t="s">
        <v>261</v>
      </c>
      <c r="R163" t="s">
        <v>261</v>
      </c>
      <c r="S163" t="s">
        <v>261</v>
      </c>
      <c r="T163" t="s">
        <v>261</v>
      </c>
      <c r="U163" t="s">
        <v>261</v>
      </c>
      <c r="V163" t="s">
        <v>261</v>
      </c>
    </row>
    <row r="164" spans="1:22">
      <c r="A164" s="18">
        <f t="shared" si="6"/>
        <v>163</v>
      </c>
      <c r="B164" s="101" t="s">
        <v>893</v>
      </c>
      <c r="C164" s="6">
        <v>44389</v>
      </c>
      <c r="D164" t="s">
        <v>896</v>
      </c>
      <c r="E164" t="s">
        <v>894</v>
      </c>
      <c r="F164" t="s">
        <v>895</v>
      </c>
      <c r="G164" t="s">
        <v>18</v>
      </c>
      <c r="H164">
        <v>1</v>
      </c>
      <c r="I164" s="8">
        <v>1125.71</v>
      </c>
      <c r="J164" s="8">
        <f t="shared" si="5"/>
        <v>1125.71</v>
      </c>
      <c r="K164" t="s">
        <v>897</v>
      </c>
      <c r="L164" t="s">
        <v>898</v>
      </c>
      <c r="M164" t="s">
        <v>261</v>
      </c>
      <c r="N164" t="s">
        <v>261</v>
      </c>
      <c r="O164" t="s">
        <v>261</v>
      </c>
      <c r="P164" t="s">
        <v>261</v>
      </c>
      <c r="Q164" t="s">
        <v>261</v>
      </c>
      <c r="R164" t="s">
        <v>261</v>
      </c>
      <c r="S164" t="s">
        <v>261</v>
      </c>
      <c r="T164" t="s">
        <v>261</v>
      </c>
      <c r="U164" t="s">
        <v>261</v>
      </c>
      <c r="V164" t="s">
        <v>261</v>
      </c>
    </row>
    <row r="165" spans="1:22">
      <c r="A165">
        <f t="shared" si="6"/>
        <v>164</v>
      </c>
      <c r="B165" s="10" t="s">
        <v>899</v>
      </c>
      <c r="C165" s="6">
        <v>44389</v>
      </c>
      <c r="D165" t="s">
        <v>900</v>
      </c>
      <c r="E165" t="s">
        <v>901</v>
      </c>
      <c r="F165" t="s">
        <v>902</v>
      </c>
      <c r="G165" t="s">
        <v>18</v>
      </c>
      <c r="H165">
        <v>1</v>
      </c>
      <c r="I165" s="8">
        <v>1111</v>
      </c>
      <c r="J165" s="8">
        <f t="shared" si="5"/>
        <v>1111</v>
      </c>
      <c r="K165" t="s">
        <v>903</v>
      </c>
      <c r="L165" t="s">
        <v>281</v>
      </c>
      <c r="M165" t="s">
        <v>261</v>
      </c>
      <c r="N165" t="s">
        <v>261</v>
      </c>
      <c r="O165" t="s">
        <v>261</v>
      </c>
      <c r="P165" t="s">
        <v>261</v>
      </c>
      <c r="Q165" t="s">
        <v>261</v>
      </c>
      <c r="R165" t="s">
        <v>261</v>
      </c>
      <c r="S165" t="s">
        <v>261</v>
      </c>
      <c r="T165" t="s">
        <v>261</v>
      </c>
      <c r="U165" t="s">
        <v>261</v>
      </c>
      <c r="V165" t="s">
        <v>261</v>
      </c>
    </row>
    <row r="166" spans="1:22">
      <c r="A166" s="12">
        <f t="shared" si="6"/>
        <v>165</v>
      </c>
      <c r="B166" s="10" t="s">
        <v>1047</v>
      </c>
      <c r="C166" s="6">
        <v>44362</v>
      </c>
      <c r="D166" t="s">
        <v>904</v>
      </c>
      <c r="E166" t="s">
        <v>905</v>
      </c>
      <c r="F166" s="13" t="s">
        <v>906</v>
      </c>
      <c r="G166" t="s">
        <v>18</v>
      </c>
      <c r="H166">
        <v>2</v>
      </c>
      <c r="I166" s="8">
        <v>4490.26</v>
      </c>
      <c r="J166" s="8">
        <f t="shared" si="5"/>
        <v>2245.13</v>
      </c>
      <c r="K166" t="s">
        <v>1048</v>
      </c>
      <c r="L166" t="s">
        <v>403</v>
      </c>
      <c r="M166" t="s">
        <v>261</v>
      </c>
      <c r="N166" t="s">
        <v>261</v>
      </c>
      <c r="O166" t="s">
        <v>261</v>
      </c>
      <c r="P166" t="s">
        <v>261</v>
      </c>
      <c r="Q166" t="s">
        <v>261</v>
      </c>
      <c r="R166" t="s">
        <v>261</v>
      </c>
      <c r="S166" t="s">
        <v>261</v>
      </c>
      <c r="T166" t="s">
        <v>261</v>
      </c>
      <c r="U166" t="s">
        <v>261</v>
      </c>
      <c r="V166" t="s">
        <v>261</v>
      </c>
    </row>
    <row r="167" spans="1:22">
      <c r="A167" s="21">
        <f t="shared" si="6"/>
        <v>166</v>
      </c>
      <c r="B167" s="10" t="s">
        <v>909</v>
      </c>
      <c r="C167" s="6">
        <v>44390</v>
      </c>
      <c r="D167" t="s">
        <v>910</v>
      </c>
      <c r="E167" t="s">
        <v>911</v>
      </c>
      <c r="F167" s="11" t="s">
        <v>912</v>
      </c>
      <c r="G167" t="s">
        <v>18</v>
      </c>
      <c r="H167">
        <v>1</v>
      </c>
      <c r="I167" s="8">
        <v>621.9</v>
      </c>
      <c r="J167" s="8">
        <f t="shared" si="5"/>
        <v>621.9</v>
      </c>
      <c r="K167" t="s">
        <v>913</v>
      </c>
      <c r="L167" t="s">
        <v>914</v>
      </c>
      <c r="M167" t="s">
        <v>261</v>
      </c>
      <c r="N167" t="s">
        <v>261</v>
      </c>
      <c r="O167" t="s">
        <v>261</v>
      </c>
      <c r="P167" t="s">
        <v>261</v>
      </c>
      <c r="Q167" t="s">
        <v>261</v>
      </c>
      <c r="R167" t="s">
        <v>261</v>
      </c>
      <c r="S167" t="s">
        <v>261</v>
      </c>
      <c r="T167" t="s">
        <v>261</v>
      </c>
      <c r="U167" t="s">
        <v>261</v>
      </c>
      <c r="V167" t="s">
        <v>261</v>
      </c>
    </row>
    <row r="168" spans="1:22">
      <c r="A168" s="21">
        <f t="shared" si="6"/>
        <v>167</v>
      </c>
      <c r="B168" s="10" t="s">
        <v>915</v>
      </c>
      <c r="C168" s="6">
        <v>44391</v>
      </c>
      <c r="D168" t="s">
        <v>2416</v>
      </c>
      <c r="E168" t="s">
        <v>916</v>
      </c>
      <c r="F168" t="s">
        <v>917</v>
      </c>
      <c r="G168" t="s">
        <v>18</v>
      </c>
      <c r="H168">
        <v>1</v>
      </c>
      <c r="I168" s="8">
        <v>819</v>
      </c>
      <c r="J168" s="8">
        <f t="shared" si="5"/>
        <v>819</v>
      </c>
      <c r="K168" t="s">
        <v>587</v>
      </c>
      <c r="L168" t="s">
        <v>652</v>
      </c>
      <c r="M168" t="s">
        <v>261</v>
      </c>
      <c r="N168" t="s">
        <v>261</v>
      </c>
      <c r="O168" t="s">
        <v>261</v>
      </c>
      <c r="P168" t="s">
        <v>261</v>
      </c>
      <c r="Q168" t="s">
        <v>261</v>
      </c>
      <c r="R168" t="s">
        <v>261</v>
      </c>
      <c r="S168" t="s">
        <v>261</v>
      </c>
      <c r="T168" t="s">
        <v>261</v>
      </c>
      <c r="U168" t="s">
        <v>261</v>
      </c>
      <c r="V168" t="s">
        <v>261</v>
      </c>
    </row>
    <row r="169" spans="1:22">
      <c r="A169" s="41">
        <f t="shared" si="6"/>
        <v>168</v>
      </c>
      <c r="B169" s="10" t="s">
        <v>918</v>
      </c>
      <c r="C169" s="6">
        <v>44392</v>
      </c>
      <c r="D169" t="s">
        <v>919</v>
      </c>
      <c r="E169" t="s">
        <v>920</v>
      </c>
      <c r="F169" t="s">
        <v>921</v>
      </c>
      <c r="G169" t="s">
        <v>18</v>
      </c>
      <c r="H169">
        <v>1</v>
      </c>
      <c r="I169" s="8">
        <v>1346.15</v>
      </c>
      <c r="J169" s="8">
        <f t="shared" si="5"/>
        <v>1346.15</v>
      </c>
      <c r="K169" t="s">
        <v>922</v>
      </c>
      <c r="L169" t="s">
        <v>20</v>
      </c>
      <c r="M169" t="s">
        <v>261</v>
      </c>
      <c r="N169" t="s">
        <v>261</v>
      </c>
      <c r="O169" t="s">
        <v>261</v>
      </c>
      <c r="P169" t="s">
        <v>261</v>
      </c>
      <c r="Q169" t="s">
        <v>261</v>
      </c>
      <c r="R169" t="s">
        <v>261</v>
      </c>
      <c r="S169" t="s">
        <v>261</v>
      </c>
      <c r="T169" t="s">
        <v>261</v>
      </c>
      <c r="U169" t="s">
        <v>261</v>
      </c>
      <c r="V169" t="s">
        <v>261</v>
      </c>
    </row>
    <row r="170" spans="1:22">
      <c r="A170">
        <f t="shared" si="6"/>
        <v>169</v>
      </c>
      <c r="B170" s="10" t="s">
        <v>923</v>
      </c>
      <c r="C170" s="6">
        <v>44393</v>
      </c>
      <c r="D170" t="s">
        <v>924</v>
      </c>
      <c r="E170" t="s">
        <v>925</v>
      </c>
      <c r="F170" t="s">
        <v>926</v>
      </c>
      <c r="G170" t="s">
        <v>18</v>
      </c>
      <c r="H170">
        <v>1</v>
      </c>
      <c r="I170" s="8">
        <v>1311</v>
      </c>
      <c r="J170" s="8">
        <f t="shared" si="5"/>
        <v>1311</v>
      </c>
      <c r="K170" t="s">
        <v>829</v>
      </c>
      <c r="L170" t="s">
        <v>927</v>
      </c>
      <c r="M170" t="s">
        <v>261</v>
      </c>
      <c r="N170" t="s">
        <v>261</v>
      </c>
      <c r="O170" t="s">
        <v>261</v>
      </c>
      <c r="P170" t="s">
        <v>261</v>
      </c>
      <c r="Q170" t="s">
        <v>261</v>
      </c>
      <c r="R170" t="s">
        <v>261</v>
      </c>
      <c r="S170" t="s">
        <v>261</v>
      </c>
      <c r="T170" t="s">
        <v>261</v>
      </c>
      <c r="U170" t="s">
        <v>261</v>
      </c>
      <c r="V170" t="s">
        <v>261</v>
      </c>
    </row>
    <row r="171" spans="1:22">
      <c r="A171">
        <f t="shared" si="6"/>
        <v>170</v>
      </c>
      <c r="B171" s="10" t="s">
        <v>928</v>
      </c>
      <c r="C171" s="6">
        <v>44396</v>
      </c>
      <c r="D171" t="s">
        <v>929</v>
      </c>
      <c r="E171" t="s">
        <v>930</v>
      </c>
      <c r="F171" t="s">
        <v>931</v>
      </c>
      <c r="G171" t="s">
        <v>18</v>
      </c>
      <c r="H171">
        <v>1</v>
      </c>
      <c r="I171" s="8">
        <v>1262</v>
      </c>
      <c r="J171" s="8">
        <f t="shared" si="5"/>
        <v>1262</v>
      </c>
      <c r="K171" t="s">
        <v>932</v>
      </c>
      <c r="L171" t="s">
        <v>957</v>
      </c>
      <c r="M171" t="s">
        <v>261</v>
      </c>
      <c r="N171" t="s">
        <v>261</v>
      </c>
      <c r="O171" t="s">
        <v>261</v>
      </c>
      <c r="P171" t="s">
        <v>261</v>
      </c>
      <c r="Q171" t="s">
        <v>261</v>
      </c>
      <c r="R171" t="s">
        <v>261</v>
      </c>
      <c r="S171" t="s">
        <v>261</v>
      </c>
      <c r="T171" t="s">
        <v>261</v>
      </c>
      <c r="U171" t="s">
        <v>261</v>
      </c>
      <c r="V171" t="s">
        <v>261</v>
      </c>
    </row>
    <row r="172" spans="1:22">
      <c r="A172" s="12">
        <f t="shared" si="6"/>
        <v>171</v>
      </c>
      <c r="B172" s="10" t="s">
        <v>1554</v>
      </c>
      <c r="C172" s="6">
        <v>44378</v>
      </c>
      <c r="D172" t="s">
        <v>936</v>
      </c>
      <c r="E172" t="s">
        <v>937</v>
      </c>
      <c r="F172" t="s">
        <v>938</v>
      </c>
      <c r="G172" t="s">
        <v>18</v>
      </c>
      <c r="H172">
        <v>2</v>
      </c>
      <c r="I172" s="8">
        <v>2388.6999999999998</v>
      </c>
      <c r="J172" s="8">
        <f t="shared" si="5"/>
        <v>1194.3499999999999</v>
      </c>
      <c r="K172" t="s">
        <v>939</v>
      </c>
      <c r="L172" t="s">
        <v>958</v>
      </c>
      <c r="M172" t="s">
        <v>261</v>
      </c>
      <c r="N172" t="s">
        <v>261</v>
      </c>
      <c r="O172" t="s">
        <v>261</v>
      </c>
      <c r="P172" t="s">
        <v>261</v>
      </c>
      <c r="Q172" t="s">
        <v>261</v>
      </c>
      <c r="R172" t="s">
        <v>261</v>
      </c>
      <c r="S172" t="s">
        <v>261</v>
      </c>
      <c r="T172" t="s">
        <v>261</v>
      </c>
      <c r="U172" t="s">
        <v>261</v>
      </c>
      <c r="V172" t="s">
        <v>261</v>
      </c>
    </row>
    <row r="173" spans="1:22">
      <c r="A173" s="12">
        <f t="shared" si="6"/>
        <v>172</v>
      </c>
      <c r="B173" s="10" t="s">
        <v>1580</v>
      </c>
      <c r="C173" s="6">
        <v>44383</v>
      </c>
      <c r="D173" t="s">
        <v>1233</v>
      </c>
      <c r="E173" t="s">
        <v>940</v>
      </c>
      <c r="F173" t="s">
        <v>941</v>
      </c>
      <c r="G173" t="s">
        <v>18</v>
      </c>
      <c r="H173">
        <v>3</v>
      </c>
      <c r="I173" s="8">
        <v>3884</v>
      </c>
      <c r="J173" s="8">
        <f t="shared" si="5"/>
        <v>1294.6666666666667</v>
      </c>
      <c r="K173" t="s">
        <v>1234</v>
      </c>
      <c r="L173" t="s">
        <v>403</v>
      </c>
      <c r="M173" t="s">
        <v>261</v>
      </c>
      <c r="N173" t="s">
        <v>261</v>
      </c>
      <c r="O173" t="s">
        <v>261</v>
      </c>
      <c r="P173" t="s">
        <v>261</v>
      </c>
      <c r="Q173" t="s">
        <v>261</v>
      </c>
      <c r="R173" t="s">
        <v>261</v>
      </c>
      <c r="S173" t="s">
        <v>261</v>
      </c>
      <c r="T173" t="s">
        <v>261</v>
      </c>
      <c r="U173" t="s">
        <v>261</v>
      </c>
      <c r="V173" t="s">
        <v>261</v>
      </c>
    </row>
    <row r="174" spans="1:22">
      <c r="A174" s="41">
        <f t="shared" si="6"/>
        <v>173</v>
      </c>
      <c r="B174" s="10" t="s">
        <v>942</v>
      </c>
      <c r="C174" s="6">
        <v>44394</v>
      </c>
      <c r="D174" t="s">
        <v>943</v>
      </c>
      <c r="E174" t="s">
        <v>944</v>
      </c>
      <c r="F174" t="s">
        <v>945</v>
      </c>
      <c r="G174" t="s">
        <v>18</v>
      </c>
      <c r="H174">
        <v>1</v>
      </c>
      <c r="I174" s="8">
        <v>1109.5999999999999</v>
      </c>
      <c r="J174" s="8">
        <f t="shared" si="5"/>
        <v>1109.5999999999999</v>
      </c>
      <c r="K174" t="s">
        <v>946</v>
      </c>
      <c r="L174" t="s">
        <v>959</v>
      </c>
      <c r="M174" t="s">
        <v>261</v>
      </c>
      <c r="N174" t="s">
        <v>261</v>
      </c>
      <c r="O174" t="s">
        <v>261</v>
      </c>
      <c r="P174" t="s">
        <v>261</v>
      </c>
      <c r="Q174" t="s">
        <v>261</v>
      </c>
      <c r="R174" t="s">
        <v>261</v>
      </c>
      <c r="S174" t="s">
        <v>261</v>
      </c>
      <c r="T174" t="s">
        <v>261</v>
      </c>
      <c r="U174" t="s">
        <v>261</v>
      </c>
      <c r="V174" t="s">
        <v>261</v>
      </c>
    </row>
    <row r="175" spans="1:22">
      <c r="A175" s="12">
        <f t="shared" si="6"/>
        <v>174</v>
      </c>
      <c r="B175" s="10" t="s">
        <v>2033</v>
      </c>
      <c r="C175" s="6">
        <v>44397</v>
      </c>
      <c r="D175" t="s">
        <v>947</v>
      </c>
      <c r="E175" t="s">
        <v>948</v>
      </c>
      <c r="F175" t="s">
        <v>949</v>
      </c>
      <c r="G175" t="s">
        <v>18</v>
      </c>
      <c r="H175">
        <v>2</v>
      </c>
      <c r="I175" s="8">
        <v>1505.7</v>
      </c>
      <c r="J175" s="8">
        <f t="shared" si="5"/>
        <v>752.85</v>
      </c>
      <c r="K175" t="s">
        <v>2034</v>
      </c>
      <c r="L175" t="s">
        <v>2035</v>
      </c>
      <c r="M175" t="s">
        <v>261</v>
      </c>
      <c r="N175" t="s">
        <v>261</v>
      </c>
      <c r="O175" t="s">
        <v>261</v>
      </c>
      <c r="P175" t="s">
        <v>261</v>
      </c>
      <c r="Q175" t="s">
        <v>261</v>
      </c>
      <c r="R175" t="s">
        <v>261</v>
      </c>
      <c r="S175" t="s">
        <v>261</v>
      </c>
      <c r="T175" t="s">
        <v>261</v>
      </c>
      <c r="U175" t="s">
        <v>261</v>
      </c>
      <c r="V175" t="s">
        <v>261</v>
      </c>
    </row>
    <row r="176" spans="1:22">
      <c r="A176">
        <f t="shared" si="6"/>
        <v>175</v>
      </c>
      <c r="B176" s="10" t="s">
        <v>952</v>
      </c>
      <c r="C176" s="6">
        <v>44398</v>
      </c>
      <c r="D176" t="s">
        <v>953</v>
      </c>
      <c r="E176" t="s">
        <v>954</v>
      </c>
      <c r="F176" t="s">
        <v>955</v>
      </c>
      <c r="G176" t="s">
        <v>18</v>
      </c>
      <c r="H176">
        <v>1</v>
      </c>
      <c r="I176" s="8">
        <v>741.6</v>
      </c>
      <c r="J176" s="8">
        <f t="shared" si="5"/>
        <v>741.6</v>
      </c>
      <c r="K176" t="s">
        <v>956</v>
      </c>
      <c r="L176" t="s">
        <v>961</v>
      </c>
      <c r="M176" t="s">
        <v>261</v>
      </c>
      <c r="N176" t="s">
        <v>261</v>
      </c>
      <c r="O176" t="s">
        <v>261</v>
      </c>
      <c r="P176" t="s">
        <v>261</v>
      </c>
      <c r="Q176" t="s">
        <v>261</v>
      </c>
      <c r="R176" t="s">
        <v>261</v>
      </c>
      <c r="S176" t="s">
        <v>261</v>
      </c>
      <c r="T176" t="s">
        <v>261</v>
      </c>
      <c r="U176" t="s">
        <v>261</v>
      </c>
      <c r="V176" t="s">
        <v>261</v>
      </c>
    </row>
    <row r="177" spans="1:22">
      <c r="A177" s="12">
        <f t="shared" si="6"/>
        <v>176</v>
      </c>
      <c r="B177" s="10" t="s">
        <v>1176</v>
      </c>
      <c r="C177" s="6">
        <v>44403</v>
      </c>
      <c r="D177" t="s">
        <v>962</v>
      </c>
      <c r="E177" t="s">
        <v>963</v>
      </c>
      <c r="F177" t="s">
        <v>964</v>
      </c>
      <c r="G177" t="s">
        <v>18</v>
      </c>
      <c r="H177">
        <v>2</v>
      </c>
      <c r="I177" s="8">
        <v>2279</v>
      </c>
      <c r="J177" s="8">
        <f t="shared" si="5"/>
        <v>1139.5</v>
      </c>
      <c r="K177" t="s">
        <v>1177</v>
      </c>
      <c r="L177" t="s">
        <v>976</v>
      </c>
      <c r="M177" t="s">
        <v>261</v>
      </c>
      <c r="N177" t="s">
        <v>261</v>
      </c>
      <c r="O177" t="s">
        <v>261</v>
      </c>
      <c r="P177" t="s">
        <v>261</v>
      </c>
      <c r="Q177" t="s">
        <v>261</v>
      </c>
      <c r="R177" t="s">
        <v>261</v>
      </c>
      <c r="S177" t="s">
        <v>261</v>
      </c>
      <c r="T177" t="s">
        <v>261</v>
      </c>
      <c r="U177" t="s">
        <v>261</v>
      </c>
      <c r="V177" t="s">
        <v>261</v>
      </c>
    </row>
    <row r="178" spans="1:22">
      <c r="A178" s="21">
        <f t="shared" si="6"/>
        <v>177</v>
      </c>
      <c r="B178" s="10" t="s">
        <v>965</v>
      </c>
      <c r="C178" s="6">
        <v>44403</v>
      </c>
      <c r="D178" t="s">
        <v>966</v>
      </c>
      <c r="E178" t="s">
        <v>967</v>
      </c>
      <c r="F178" t="s">
        <v>968</v>
      </c>
      <c r="G178" t="s">
        <v>18</v>
      </c>
      <c r="H178">
        <v>1</v>
      </c>
      <c r="I178" s="8">
        <v>2229</v>
      </c>
      <c r="J178" s="8">
        <f t="shared" si="5"/>
        <v>2229</v>
      </c>
      <c r="K178" t="s">
        <v>969</v>
      </c>
      <c r="L178" t="s">
        <v>970</v>
      </c>
      <c r="M178" t="s">
        <v>261</v>
      </c>
      <c r="N178" t="s">
        <v>261</v>
      </c>
      <c r="O178" t="s">
        <v>261</v>
      </c>
      <c r="P178" t="s">
        <v>261</v>
      </c>
      <c r="Q178" t="s">
        <v>261</v>
      </c>
      <c r="R178" t="s">
        <v>261</v>
      </c>
      <c r="S178" t="s">
        <v>261</v>
      </c>
      <c r="T178" t="s">
        <v>261</v>
      </c>
      <c r="U178" t="s">
        <v>261</v>
      </c>
      <c r="V178" t="s">
        <v>261</v>
      </c>
    </row>
    <row r="179" spans="1:22">
      <c r="A179">
        <f t="shared" si="6"/>
        <v>178</v>
      </c>
      <c r="B179" s="10" t="s">
        <v>971</v>
      </c>
      <c r="C179" s="6">
        <v>44404</v>
      </c>
      <c r="D179" t="s">
        <v>972</v>
      </c>
      <c r="E179" t="s">
        <v>973</v>
      </c>
      <c r="F179" s="11" t="s">
        <v>974</v>
      </c>
      <c r="G179" t="s">
        <v>18</v>
      </c>
      <c r="H179">
        <v>1</v>
      </c>
      <c r="I179" s="8">
        <v>672</v>
      </c>
      <c r="J179" s="8">
        <f t="shared" si="5"/>
        <v>672</v>
      </c>
      <c r="K179" t="s">
        <v>975</v>
      </c>
      <c r="L179" t="s">
        <v>403</v>
      </c>
      <c r="M179" t="s">
        <v>261</v>
      </c>
      <c r="N179" t="s">
        <v>261</v>
      </c>
      <c r="O179" t="s">
        <v>261</v>
      </c>
      <c r="P179" t="s">
        <v>261</v>
      </c>
      <c r="Q179" t="s">
        <v>261</v>
      </c>
      <c r="R179" t="s">
        <v>261</v>
      </c>
      <c r="S179" t="s">
        <v>261</v>
      </c>
      <c r="T179" t="s">
        <v>261</v>
      </c>
      <c r="U179" t="s">
        <v>261</v>
      </c>
      <c r="V179" t="s">
        <v>261</v>
      </c>
    </row>
    <row r="180" spans="1:22">
      <c r="A180" s="21">
        <f t="shared" si="6"/>
        <v>179</v>
      </c>
      <c r="B180" s="10" t="s">
        <v>977</v>
      </c>
      <c r="C180" s="6">
        <v>44404</v>
      </c>
      <c r="D180" t="s">
        <v>978</v>
      </c>
      <c r="E180" t="s">
        <v>979</v>
      </c>
      <c r="F180" t="s">
        <v>980</v>
      </c>
      <c r="G180" t="s">
        <v>18</v>
      </c>
      <c r="H180">
        <v>1</v>
      </c>
      <c r="I180" s="8">
        <v>372</v>
      </c>
      <c r="J180" s="8">
        <f t="shared" si="5"/>
        <v>372</v>
      </c>
      <c r="K180" t="s">
        <v>981</v>
      </c>
      <c r="L180" t="s">
        <v>982</v>
      </c>
      <c r="M180" t="s">
        <v>261</v>
      </c>
      <c r="N180" t="s">
        <v>261</v>
      </c>
      <c r="O180" t="s">
        <v>261</v>
      </c>
      <c r="P180" t="s">
        <v>261</v>
      </c>
      <c r="Q180" t="s">
        <v>261</v>
      </c>
      <c r="R180" t="s">
        <v>261</v>
      </c>
      <c r="S180" t="s">
        <v>261</v>
      </c>
      <c r="T180" t="s">
        <v>261</v>
      </c>
      <c r="U180" t="s">
        <v>261</v>
      </c>
      <c r="V180" t="s">
        <v>261</v>
      </c>
    </row>
    <row r="181" spans="1:22">
      <c r="A181" s="41">
        <f t="shared" si="6"/>
        <v>180</v>
      </c>
      <c r="B181" s="101" t="s">
        <v>983</v>
      </c>
      <c r="C181" s="6">
        <v>44389</v>
      </c>
      <c r="D181" t="s">
        <v>984</v>
      </c>
      <c r="E181" t="s">
        <v>985</v>
      </c>
      <c r="F181" t="s">
        <v>986</v>
      </c>
      <c r="G181" t="s">
        <v>18</v>
      </c>
      <c r="H181">
        <v>1</v>
      </c>
      <c r="I181" s="8">
        <v>700</v>
      </c>
      <c r="J181" s="8">
        <f t="shared" si="5"/>
        <v>700</v>
      </c>
      <c r="K181" t="s">
        <v>987</v>
      </c>
      <c r="L181" t="s">
        <v>403</v>
      </c>
      <c r="M181" t="s">
        <v>261</v>
      </c>
      <c r="N181" t="s">
        <v>261</v>
      </c>
      <c r="O181" t="s">
        <v>261</v>
      </c>
      <c r="P181" t="s">
        <v>261</v>
      </c>
      <c r="Q181" t="s">
        <v>261</v>
      </c>
      <c r="R181" t="s">
        <v>261</v>
      </c>
      <c r="S181" t="s">
        <v>261</v>
      </c>
      <c r="T181" t="s">
        <v>261</v>
      </c>
      <c r="U181" t="s">
        <v>261</v>
      </c>
      <c r="V181" t="s">
        <v>261</v>
      </c>
    </row>
    <row r="182" spans="1:22">
      <c r="A182">
        <f t="shared" si="6"/>
        <v>181</v>
      </c>
      <c r="B182" s="10" t="s">
        <v>988</v>
      </c>
      <c r="C182" s="6">
        <v>44391</v>
      </c>
      <c r="D182" t="s">
        <v>989</v>
      </c>
      <c r="E182" t="s">
        <v>990</v>
      </c>
      <c r="F182" t="s">
        <v>991</v>
      </c>
      <c r="G182" t="s">
        <v>18</v>
      </c>
      <c r="H182">
        <v>1</v>
      </c>
      <c r="I182" s="8">
        <v>1993.5</v>
      </c>
      <c r="J182" s="8">
        <f t="shared" si="5"/>
        <v>1993.5</v>
      </c>
      <c r="K182" t="s">
        <v>992</v>
      </c>
      <c r="L182" t="s">
        <v>747</v>
      </c>
      <c r="M182" t="s">
        <v>261</v>
      </c>
      <c r="N182" t="s">
        <v>261</v>
      </c>
      <c r="O182" t="s">
        <v>261</v>
      </c>
      <c r="P182" t="s">
        <v>261</v>
      </c>
      <c r="Q182" t="s">
        <v>261</v>
      </c>
      <c r="R182" t="s">
        <v>261</v>
      </c>
      <c r="S182" t="s">
        <v>261</v>
      </c>
      <c r="T182" t="s">
        <v>261</v>
      </c>
      <c r="U182" t="s">
        <v>261</v>
      </c>
      <c r="V182" t="s">
        <v>261</v>
      </c>
    </row>
    <row r="183" spans="1:22">
      <c r="A183">
        <f t="shared" si="6"/>
        <v>182</v>
      </c>
      <c r="B183" s="101" t="s">
        <v>993</v>
      </c>
      <c r="C183" s="6">
        <v>44405</v>
      </c>
      <c r="D183" t="s">
        <v>994</v>
      </c>
      <c r="E183" t="s">
        <v>995</v>
      </c>
      <c r="F183" t="s">
        <v>996</v>
      </c>
      <c r="G183" t="s">
        <v>18</v>
      </c>
      <c r="H183">
        <v>1</v>
      </c>
      <c r="I183" s="8">
        <v>618</v>
      </c>
      <c r="J183" s="8">
        <f t="shared" si="5"/>
        <v>618</v>
      </c>
      <c r="K183" t="s">
        <v>956</v>
      </c>
      <c r="L183" t="s">
        <v>403</v>
      </c>
      <c r="M183" t="s">
        <v>261</v>
      </c>
      <c r="N183" t="s">
        <v>261</v>
      </c>
      <c r="O183" t="s">
        <v>261</v>
      </c>
      <c r="P183" t="s">
        <v>261</v>
      </c>
      <c r="Q183" t="s">
        <v>261</v>
      </c>
      <c r="R183" t="s">
        <v>261</v>
      </c>
      <c r="S183" t="s">
        <v>261</v>
      </c>
      <c r="T183" t="s">
        <v>261</v>
      </c>
      <c r="U183" t="s">
        <v>261</v>
      </c>
      <c r="V183" t="s">
        <v>261</v>
      </c>
    </row>
    <row r="184" spans="1:22">
      <c r="A184">
        <f t="shared" si="6"/>
        <v>183</v>
      </c>
      <c r="B184" s="10" t="s">
        <v>997</v>
      </c>
      <c r="C184" s="6">
        <v>44405</v>
      </c>
      <c r="D184" t="s">
        <v>998</v>
      </c>
      <c r="E184" t="s">
        <v>999</v>
      </c>
      <c r="F184" t="s">
        <v>1000</v>
      </c>
      <c r="G184" t="s">
        <v>18</v>
      </c>
      <c r="H184">
        <v>1</v>
      </c>
      <c r="I184" s="8">
        <v>780.9</v>
      </c>
      <c r="J184" s="8">
        <f t="shared" si="5"/>
        <v>780.9</v>
      </c>
      <c r="K184" t="s">
        <v>1001</v>
      </c>
      <c r="L184" t="s">
        <v>1007</v>
      </c>
      <c r="M184" t="s">
        <v>261</v>
      </c>
      <c r="N184" t="s">
        <v>261</v>
      </c>
      <c r="O184" t="s">
        <v>261</v>
      </c>
      <c r="P184" t="s">
        <v>261</v>
      </c>
      <c r="Q184" t="s">
        <v>261</v>
      </c>
      <c r="R184" t="s">
        <v>261</v>
      </c>
      <c r="S184" t="s">
        <v>261</v>
      </c>
      <c r="T184" t="s">
        <v>261</v>
      </c>
      <c r="U184" t="s">
        <v>261</v>
      </c>
      <c r="V184" t="s">
        <v>261</v>
      </c>
    </row>
    <row r="185" spans="1:22">
      <c r="A185" s="12">
        <f t="shared" si="6"/>
        <v>184</v>
      </c>
      <c r="B185" s="10" t="s">
        <v>1061</v>
      </c>
      <c r="C185" s="6">
        <v>44384</v>
      </c>
      <c r="D185" t="s">
        <v>1002</v>
      </c>
      <c r="E185" t="s">
        <v>1003</v>
      </c>
      <c r="F185" t="s">
        <v>1004</v>
      </c>
      <c r="G185" t="s">
        <v>18</v>
      </c>
      <c r="H185">
        <v>2</v>
      </c>
      <c r="I185" s="8">
        <v>2787.49</v>
      </c>
      <c r="J185" s="8">
        <f t="shared" si="5"/>
        <v>1393.7449999999999</v>
      </c>
      <c r="K185" t="s">
        <v>1005</v>
      </c>
      <c r="L185" t="s">
        <v>1006</v>
      </c>
      <c r="M185" t="s">
        <v>261</v>
      </c>
      <c r="N185" t="s">
        <v>261</v>
      </c>
      <c r="O185" t="s">
        <v>261</v>
      </c>
      <c r="P185" t="s">
        <v>261</v>
      </c>
      <c r="Q185" t="s">
        <v>261</v>
      </c>
      <c r="R185" t="s">
        <v>261</v>
      </c>
      <c r="S185" t="s">
        <v>261</v>
      </c>
      <c r="T185" t="s">
        <v>261</v>
      </c>
      <c r="U185" t="s">
        <v>261</v>
      </c>
      <c r="V185" t="s">
        <v>261</v>
      </c>
    </row>
    <row r="186" spans="1:22">
      <c r="A186" s="21">
        <f t="shared" si="6"/>
        <v>185</v>
      </c>
      <c r="B186" s="10" t="s">
        <v>1008</v>
      </c>
      <c r="C186" s="6">
        <v>44397</v>
      </c>
      <c r="D186" t="s">
        <v>1009</v>
      </c>
      <c r="E186" t="s">
        <v>1010</v>
      </c>
      <c r="F186" t="s">
        <v>1011</v>
      </c>
      <c r="G186" t="s">
        <v>18</v>
      </c>
      <c r="H186">
        <v>1</v>
      </c>
      <c r="I186" s="8">
        <v>976.8</v>
      </c>
      <c r="J186" s="8">
        <f t="shared" si="5"/>
        <v>976.8</v>
      </c>
      <c r="K186" t="s">
        <v>987</v>
      </c>
      <c r="L186" t="s">
        <v>1012</v>
      </c>
      <c r="M186" t="s">
        <v>261</v>
      </c>
      <c r="N186" t="s">
        <v>261</v>
      </c>
      <c r="O186" t="s">
        <v>261</v>
      </c>
      <c r="P186" t="s">
        <v>261</v>
      </c>
      <c r="Q186" t="s">
        <v>261</v>
      </c>
      <c r="R186" t="s">
        <v>261</v>
      </c>
      <c r="S186" t="s">
        <v>261</v>
      </c>
      <c r="T186" t="s">
        <v>261</v>
      </c>
      <c r="U186" t="s">
        <v>261</v>
      </c>
      <c r="V186" t="s">
        <v>261</v>
      </c>
    </row>
    <row r="187" spans="1:22">
      <c r="A187" s="41">
        <f t="shared" si="6"/>
        <v>186</v>
      </c>
      <c r="B187" s="10" t="s">
        <v>1013</v>
      </c>
      <c r="C187" s="6">
        <v>44406</v>
      </c>
      <c r="D187" t="s">
        <v>1014</v>
      </c>
      <c r="E187" t="s">
        <v>1015</v>
      </c>
      <c r="F187" t="s">
        <v>1016</v>
      </c>
      <c r="G187" t="s">
        <v>18</v>
      </c>
      <c r="H187">
        <v>1</v>
      </c>
      <c r="I187" s="8">
        <v>963</v>
      </c>
      <c r="J187" s="8">
        <f t="shared" si="5"/>
        <v>963</v>
      </c>
      <c r="K187" t="s">
        <v>1017</v>
      </c>
      <c r="L187" t="s">
        <v>1018</v>
      </c>
      <c r="M187" t="s">
        <v>261</v>
      </c>
      <c r="N187" t="s">
        <v>261</v>
      </c>
      <c r="O187" t="s">
        <v>261</v>
      </c>
      <c r="P187" t="s">
        <v>261</v>
      </c>
      <c r="Q187" t="s">
        <v>261</v>
      </c>
      <c r="R187" t="s">
        <v>261</v>
      </c>
      <c r="S187" t="s">
        <v>261</v>
      </c>
      <c r="T187" t="s">
        <v>261</v>
      </c>
      <c r="U187" t="s">
        <v>261</v>
      </c>
      <c r="V187" t="s">
        <v>261</v>
      </c>
    </row>
    <row r="188" spans="1:22">
      <c r="A188" s="21">
        <f t="shared" si="6"/>
        <v>187</v>
      </c>
      <c r="B188" s="10" t="s">
        <v>1024</v>
      </c>
      <c r="C188" s="6">
        <v>44408</v>
      </c>
      <c r="D188" t="s">
        <v>1019</v>
      </c>
      <c r="E188" t="s">
        <v>1020</v>
      </c>
      <c r="F188" t="s">
        <v>1021</v>
      </c>
      <c r="G188" t="s">
        <v>18</v>
      </c>
      <c r="H188">
        <v>1</v>
      </c>
      <c r="I188" s="8">
        <v>1072.8</v>
      </c>
      <c r="J188" s="8">
        <f t="shared" si="5"/>
        <v>1072.8</v>
      </c>
      <c r="K188" t="s">
        <v>1022</v>
      </c>
      <c r="L188" t="s">
        <v>1023</v>
      </c>
      <c r="M188" t="s">
        <v>261</v>
      </c>
      <c r="N188" t="s">
        <v>261</v>
      </c>
      <c r="O188" t="s">
        <v>261</v>
      </c>
      <c r="P188" t="s">
        <v>261</v>
      </c>
      <c r="Q188" t="s">
        <v>261</v>
      </c>
      <c r="R188" t="s">
        <v>261</v>
      </c>
      <c r="S188" t="s">
        <v>261</v>
      </c>
      <c r="T188" t="s">
        <v>261</v>
      </c>
      <c r="U188" t="s">
        <v>261</v>
      </c>
      <c r="V188" t="s">
        <v>261</v>
      </c>
    </row>
    <row r="189" spans="1:22" ht="14.25" customHeight="1">
      <c r="A189" s="41">
        <f t="shared" si="6"/>
        <v>188</v>
      </c>
      <c r="B189" s="10" t="s">
        <v>1029</v>
      </c>
      <c r="C189" s="6">
        <v>44407</v>
      </c>
      <c r="D189" t="s">
        <v>1025</v>
      </c>
      <c r="E189" t="s">
        <v>1026</v>
      </c>
      <c r="F189" t="s">
        <v>1027</v>
      </c>
      <c r="G189" t="s">
        <v>18</v>
      </c>
      <c r="H189">
        <v>1</v>
      </c>
      <c r="I189" s="8">
        <v>1287.25</v>
      </c>
      <c r="J189" s="8">
        <f t="shared" si="5"/>
        <v>1287.25</v>
      </c>
      <c r="K189" t="s">
        <v>1028</v>
      </c>
      <c r="L189" t="s">
        <v>323</v>
      </c>
      <c r="M189" t="s">
        <v>261</v>
      </c>
      <c r="N189" t="s">
        <v>261</v>
      </c>
      <c r="O189" t="s">
        <v>261</v>
      </c>
      <c r="P189" t="s">
        <v>261</v>
      </c>
      <c r="Q189" t="s">
        <v>261</v>
      </c>
      <c r="R189" t="s">
        <v>261</v>
      </c>
      <c r="S189" t="s">
        <v>261</v>
      </c>
      <c r="T189" t="s">
        <v>261</v>
      </c>
      <c r="U189" t="s">
        <v>261</v>
      </c>
      <c r="V189" t="s">
        <v>261</v>
      </c>
    </row>
    <row r="190" spans="1:22">
      <c r="A190" s="18">
        <f t="shared" si="6"/>
        <v>189</v>
      </c>
      <c r="B190" s="101" t="s">
        <v>1030</v>
      </c>
      <c r="C190" s="6">
        <v>44407</v>
      </c>
      <c r="D190" t="s">
        <v>1031</v>
      </c>
      <c r="E190" s="24" t="s">
        <v>1032</v>
      </c>
      <c r="F190" t="s">
        <v>1033</v>
      </c>
      <c r="G190" t="s">
        <v>18</v>
      </c>
      <c r="H190">
        <v>1</v>
      </c>
      <c r="I190" s="8">
        <v>1874.5</v>
      </c>
      <c r="J190" s="8">
        <f t="shared" si="5"/>
        <v>1874.5</v>
      </c>
      <c r="K190" t="s">
        <v>1034</v>
      </c>
      <c r="L190" t="s">
        <v>1045</v>
      </c>
      <c r="M190" t="s">
        <v>261</v>
      </c>
      <c r="N190" t="s">
        <v>261</v>
      </c>
      <c r="O190" t="s">
        <v>261</v>
      </c>
      <c r="P190" t="s">
        <v>261</v>
      </c>
      <c r="Q190" t="s">
        <v>261</v>
      </c>
      <c r="R190" t="s">
        <v>261</v>
      </c>
      <c r="S190" t="s">
        <v>261</v>
      </c>
      <c r="T190" t="s">
        <v>261</v>
      </c>
      <c r="U190" t="s">
        <v>261</v>
      </c>
      <c r="V190" t="s">
        <v>261</v>
      </c>
    </row>
    <row r="191" spans="1:22">
      <c r="A191" s="41">
        <f t="shared" si="6"/>
        <v>190</v>
      </c>
      <c r="B191" s="10" t="s">
        <v>1035</v>
      </c>
      <c r="C191" s="6">
        <v>44410</v>
      </c>
      <c r="D191" t="s">
        <v>1037</v>
      </c>
      <c r="E191" t="s">
        <v>1036</v>
      </c>
      <c r="F191" t="s">
        <v>1038</v>
      </c>
      <c r="G191" t="s">
        <v>18</v>
      </c>
      <c r="H191">
        <v>1</v>
      </c>
      <c r="I191" s="8">
        <v>858.8</v>
      </c>
      <c r="J191" s="8">
        <f t="shared" si="5"/>
        <v>858.8</v>
      </c>
      <c r="K191" t="s">
        <v>1039</v>
      </c>
      <c r="L191" t="s">
        <v>1046</v>
      </c>
      <c r="M191" t="s">
        <v>261</v>
      </c>
      <c r="N191" t="s">
        <v>261</v>
      </c>
      <c r="O191" t="s">
        <v>261</v>
      </c>
      <c r="P191" t="s">
        <v>261</v>
      </c>
      <c r="Q191" t="s">
        <v>261</v>
      </c>
      <c r="R191" t="s">
        <v>261</v>
      </c>
      <c r="S191" t="s">
        <v>261</v>
      </c>
      <c r="T191" t="s">
        <v>261</v>
      </c>
      <c r="U191" t="s">
        <v>261</v>
      </c>
      <c r="V191" t="s">
        <v>261</v>
      </c>
    </row>
    <row r="192" spans="1:22">
      <c r="A192">
        <f t="shared" si="6"/>
        <v>191</v>
      </c>
      <c r="B192" s="10" t="s">
        <v>1040</v>
      </c>
      <c r="C192" s="6">
        <v>44410</v>
      </c>
      <c r="D192" t="s">
        <v>1041</v>
      </c>
      <c r="E192" t="s">
        <v>1042</v>
      </c>
      <c r="F192" t="s">
        <v>1043</v>
      </c>
      <c r="G192" t="s">
        <v>18</v>
      </c>
      <c r="H192">
        <v>1</v>
      </c>
      <c r="I192" s="8">
        <v>1700</v>
      </c>
      <c r="J192" s="8">
        <f t="shared" si="5"/>
        <v>1700</v>
      </c>
      <c r="K192" t="s">
        <v>1044</v>
      </c>
      <c r="L192" t="s">
        <v>1060</v>
      </c>
      <c r="M192" t="s">
        <v>261</v>
      </c>
      <c r="N192" t="s">
        <v>261</v>
      </c>
      <c r="O192" t="s">
        <v>261</v>
      </c>
      <c r="P192" t="s">
        <v>261</v>
      </c>
      <c r="Q192" t="s">
        <v>261</v>
      </c>
      <c r="R192" t="s">
        <v>261</v>
      </c>
      <c r="S192" t="s">
        <v>261</v>
      </c>
      <c r="T192" t="s">
        <v>261</v>
      </c>
      <c r="U192" t="s">
        <v>261</v>
      </c>
      <c r="V192" t="s">
        <v>261</v>
      </c>
    </row>
    <row r="193" spans="1:22">
      <c r="A193">
        <f t="shared" si="6"/>
        <v>192</v>
      </c>
      <c r="B193" s="10" t="s">
        <v>1049</v>
      </c>
      <c r="C193" s="6">
        <v>44411</v>
      </c>
      <c r="D193" t="s">
        <v>1050</v>
      </c>
      <c r="E193" t="s">
        <v>1051</v>
      </c>
      <c r="F193" t="s">
        <v>1052</v>
      </c>
      <c r="G193" t="s">
        <v>18</v>
      </c>
      <c r="H193">
        <v>1</v>
      </c>
      <c r="I193" s="8">
        <v>840</v>
      </c>
      <c r="J193" s="8">
        <f t="shared" ref="J193:J257" si="7">+I193/H193</f>
        <v>840</v>
      </c>
      <c r="K193" t="s">
        <v>1053</v>
      </c>
      <c r="L193" t="s">
        <v>1059</v>
      </c>
      <c r="M193" t="s">
        <v>261</v>
      </c>
      <c r="N193" t="s">
        <v>261</v>
      </c>
      <c r="O193" t="s">
        <v>261</v>
      </c>
      <c r="P193" t="s">
        <v>261</v>
      </c>
      <c r="Q193" t="s">
        <v>261</v>
      </c>
      <c r="R193" t="s">
        <v>261</v>
      </c>
      <c r="S193" t="s">
        <v>261</v>
      </c>
      <c r="T193" t="s">
        <v>261</v>
      </c>
      <c r="U193" t="s">
        <v>261</v>
      </c>
      <c r="V193" t="s">
        <v>261</v>
      </c>
    </row>
    <row r="194" spans="1:22">
      <c r="A194">
        <f t="shared" si="6"/>
        <v>193</v>
      </c>
      <c r="B194" s="10" t="s">
        <v>1054</v>
      </c>
      <c r="C194" s="6">
        <v>44412</v>
      </c>
      <c r="D194" t="s">
        <v>1055</v>
      </c>
      <c r="E194" t="s">
        <v>1056</v>
      </c>
      <c r="F194" t="s">
        <v>1057</v>
      </c>
      <c r="G194" t="s">
        <v>18</v>
      </c>
      <c r="H194">
        <v>1</v>
      </c>
      <c r="I194" s="8">
        <v>3462</v>
      </c>
      <c r="J194" s="8">
        <f t="shared" si="7"/>
        <v>3462</v>
      </c>
      <c r="K194" t="s">
        <v>1058</v>
      </c>
      <c r="L194" t="s">
        <v>1062</v>
      </c>
      <c r="M194" t="s">
        <v>261</v>
      </c>
      <c r="N194" t="s">
        <v>261</v>
      </c>
      <c r="O194" t="s">
        <v>261</v>
      </c>
      <c r="P194" t="s">
        <v>261</v>
      </c>
      <c r="Q194" t="s">
        <v>261</v>
      </c>
      <c r="R194" t="s">
        <v>261</v>
      </c>
      <c r="S194" t="s">
        <v>261</v>
      </c>
      <c r="T194" t="s">
        <v>261</v>
      </c>
      <c r="U194" t="s">
        <v>261</v>
      </c>
      <c r="V194" t="s">
        <v>261</v>
      </c>
    </row>
    <row r="195" spans="1:22">
      <c r="A195" s="12">
        <f t="shared" si="6"/>
        <v>194</v>
      </c>
      <c r="B195" s="10" t="s">
        <v>1112</v>
      </c>
      <c r="C195" s="6">
        <v>44413</v>
      </c>
      <c r="D195" t="s">
        <v>1063</v>
      </c>
      <c r="E195" t="s">
        <v>1064</v>
      </c>
      <c r="F195" t="s">
        <v>1065</v>
      </c>
      <c r="G195" t="s">
        <v>18</v>
      </c>
      <c r="H195">
        <v>2</v>
      </c>
      <c r="I195" s="8">
        <v>1746.1</v>
      </c>
      <c r="J195" s="8">
        <f t="shared" si="7"/>
        <v>873.05</v>
      </c>
      <c r="K195" t="s">
        <v>1113</v>
      </c>
      <c r="L195" t="s">
        <v>1071</v>
      </c>
      <c r="M195" t="s">
        <v>261</v>
      </c>
      <c r="N195" t="s">
        <v>261</v>
      </c>
      <c r="O195" t="s">
        <v>261</v>
      </c>
      <c r="P195" t="s">
        <v>261</v>
      </c>
      <c r="Q195" t="s">
        <v>261</v>
      </c>
      <c r="R195" t="s">
        <v>261</v>
      </c>
      <c r="S195" t="s">
        <v>261</v>
      </c>
      <c r="T195" t="s">
        <v>261</v>
      </c>
      <c r="U195" t="s">
        <v>261</v>
      </c>
      <c r="V195" t="s">
        <v>261</v>
      </c>
    </row>
    <row r="196" spans="1:22">
      <c r="A196" s="41">
        <f t="shared" ref="A196:A260" si="8">+A195+1</f>
        <v>195</v>
      </c>
      <c r="B196" s="10" t="s">
        <v>1066</v>
      </c>
      <c r="C196" s="6">
        <v>44403</v>
      </c>
      <c r="D196" t="s">
        <v>1067</v>
      </c>
      <c r="E196" t="s">
        <v>1068</v>
      </c>
      <c r="F196" t="s">
        <v>1069</v>
      </c>
      <c r="G196" t="s">
        <v>18</v>
      </c>
      <c r="H196">
        <v>1</v>
      </c>
      <c r="I196" s="8">
        <v>670</v>
      </c>
      <c r="J196" s="8">
        <f t="shared" si="7"/>
        <v>670</v>
      </c>
      <c r="K196" t="s">
        <v>1070</v>
      </c>
      <c r="L196" t="s">
        <v>1088</v>
      </c>
      <c r="M196" t="s">
        <v>261</v>
      </c>
      <c r="N196" t="s">
        <v>261</v>
      </c>
      <c r="O196" t="s">
        <v>261</v>
      </c>
      <c r="P196" t="s">
        <v>261</v>
      </c>
      <c r="Q196" t="s">
        <v>261</v>
      </c>
      <c r="R196" t="s">
        <v>261</v>
      </c>
      <c r="S196" t="s">
        <v>261</v>
      </c>
      <c r="T196" t="s">
        <v>261</v>
      </c>
      <c r="U196" t="s">
        <v>261</v>
      </c>
      <c r="V196" t="s">
        <v>261</v>
      </c>
    </row>
    <row r="197" spans="1:22">
      <c r="A197">
        <f t="shared" si="8"/>
        <v>196</v>
      </c>
      <c r="B197" s="10" t="s">
        <v>1072</v>
      </c>
      <c r="C197" s="6">
        <v>44414</v>
      </c>
      <c r="D197" t="s">
        <v>1073</v>
      </c>
      <c r="E197" t="s">
        <v>1074</v>
      </c>
      <c r="F197" t="s">
        <v>1075</v>
      </c>
      <c r="G197" t="s">
        <v>18</v>
      </c>
      <c r="H197">
        <v>1</v>
      </c>
      <c r="I197" s="8">
        <v>1681.5</v>
      </c>
      <c r="J197" s="8">
        <f t="shared" si="7"/>
        <v>1681.5</v>
      </c>
      <c r="K197" t="s">
        <v>1076</v>
      </c>
      <c r="L197" t="s">
        <v>727</v>
      </c>
      <c r="M197" t="s">
        <v>261</v>
      </c>
      <c r="N197" t="s">
        <v>261</v>
      </c>
      <c r="O197" t="s">
        <v>261</v>
      </c>
      <c r="P197" t="s">
        <v>261</v>
      </c>
      <c r="Q197" t="s">
        <v>261</v>
      </c>
      <c r="R197" t="s">
        <v>261</v>
      </c>
      <c r="S197" t="s">
        <v>261</v>
      </c>
      <c r="T197" t="s">
        <v>261</v>
      </c>
      <c r="U197" t="s">
        <v>261</v>
      </c>
      <c r="V197" t="s">
        <v>261</v>
      </c>
    </row>
    <row r="198" spans="1:22">
      <c r="A198">
        <f t="shared" si="8"/>
        <v>197</v>
      </c>
      <c r="B198" s="10" t="s">
        <v>1081</v>
      </c>
      <c r="C198" s="6">
        <v>44414</v>
      </c>
      <c r="D198" t="s">
        <v>1077</v>
      </c>
      <c r="E198" t="s">
        <v>1078</v>
      </c>
      <c r="F198" t="s">
        <v>1079</v>
      </c>
      <c r="G198" t="s">
        <v>18</v>
      </c>
      <c r="H198">
        <v>1</v>
      </c>
      <c r="I198" s="8">
        <v>1228.5</v>
      </c>
      <c r="J198" s="8">
        <f t="shared" si="7"/>
        <v>1228.5</v>
      </c>
      <c r="K198" t="s">
        <v>1080</v>
      </c>
      <c r="L198" t="s">
        <v>403</v>
      </c>
      <c r="M198" t="s">
        <v>261</v>
      </c>
      <c r="N198" t="s">
        <v>261</v>
      </c>
      <c r="O198" t="s">
        <v>261</v>
      </c>
      <c r="P198" t="s">
        <v>261</v>
      </c>
      <c r="Q198" t="s">
        <v>261</v>
      </c>
      <c r="R198" t="s">
        <v>261</v>
      </c>
      <c r="S198" t="s">
        <v>261</v>
      </c>
      <c r="T198" t="s">
        <v>261</v>
      </c>
      <c r="U198" t="s">
        <v>261</v>
      </c>
      <c r="V198" t="s">
        <v>261</v>
      </c>
    </row>
    <row r="199" spans="1:22">
      <c r="A199">
        <f t="shared" si="8"/>
        <v>198</v>
      </c>
      <c r="B199" s="10" t="s">
        <v>1082</v>
      </c>
      <c r="C199" s="6">
        <v>44415</v>
      </c>
      <c r="D199" t="s">
        <v>1083</v>
      </c>
      <c r="E199" t="s">
        <v>1084</v>
      </c>
      <c r="F199" t="s">
        <v>1085</v>
      </c>
      <c r="G199" t="s">
        <v>18</v>
      </c>
      <c r="H199">
        <v>1</v>
      </c>
      <c r="I199" s="8">
        <v>2557.8000000000002</v>
      </c>
      <c r="J199" s="8">
        <f t="shared" si="7"/>
        <v>2557.8000000000002</v>
      </c>
      <c r="K199" t="s">
        <v>1086</v>
      </c>
      <c r="L199" t="s">
        <v>1087</v>
      </c>
      <c r="M199" t="s">
        <v>261</v>
      </c>
      <c r="N199" t="s">
        <v>261</v>
      </c>
      <c r="O199" t="s">
        <v>261</v>
      </c>
      <c r="P199" t="s">
        <v>261</v>
      </c>
      <c r="Q199" t="s">
        <v>261</v>
      </c>
      <c r="R199" t="s">
        <v>261</v>
      </c>
      <c r="S199" t="s">
        <v>261</v>
      </c>
      <c r="T199" t="s">
        <v>261</v>
      </c>
      <c r="U199" t="s">
        <v>261</v>
      </c>
      <c r="V199" t="s">
        <v>261</v>
      </c>
    </row>
    <row r="200" spans="1:22">
      <c r="A200">
        <f t="shared" si="8"/>
        <v>199</v>
      </c>
      <c r="B200" s="10" t="s">
        <v>1091</v>
      </c>
      <c r="C200" s="6">
        <v>44404</v>
      </c>
      <c r="D200" t="s">
        <v>1092</v>
      </c>
      <c r="E200" t="s">
        <v>1093</v>
      </c>
      <c r="F200" t="s">
        <v>1094</v>
      </c>
      <c r="G200" t="s">
        <v>18</v>
      </c>
      <c r="H200">
        <v>1</v>
      </c>
      <c r="I200" s="8">
        <v>3115.18</v>
      </c>
      <c r="J200" s="8">
        <f t="shared" si="7"/>
        <v>3115.18</v>
      </c>
      <c r="K200" t="s">
        <v>1095</v>
      </c>
      <c r="L200" t="s">
        <v>403</v>
      </c>
      <c r="M200" t="s">
        <v>261</v>
      </c>
      <c r="N200" t="s">
        <v>261</v>
      </c>
      <c r="O200" t="s">
        <v>261</v>
      </c>
      <c r="P200" t="s">
        <v>261</v>
      </c>
      <c r="Q200" t="s">
        <v>261</v>
      </c>
      <c r="R200" t="s">
        <v>261</v>
      </c>
      <c r="S200" t="s">
        <v>261</v>
      </c>
      <c r="T200" t="s">
        <v>261</v>
      </c>
      <c r="U200" t="s">
        <v>261</v>
      </c>
      <c r="V200" t="s">
        <v>261</v>
      </c>
    </row>
    <row r="201" spans="1:22">
      <c r="A201">
        <f t="shared" si="8"/>
        <v>200</v>
      </c>
      <c r="B201" s="10" t="s">
        <v>1096</v>
      </c>
      <c r="C201" s="6">
        <v>44417</v>
      </c>
      <c r="D201" t="s">
        <v>1097</v>
      </c>
      <c r="E201" t="s">
        <v>1098</v>
      </c>
      <c r="F201" t="s">
        <v>1099</v>
      </c>
      <c r="G201" t="s">
        <v>18</v>
      </c>
      <c r="H201">
        <v>1</v>
      </c>
      <c r="I201" s="8">
        <v>1435.45</v>
      </c>
      <c r="J201" s="8">
        <f t="shared" si="7"/>
        <v>1435.45</v>
      </c>
      <c r="K201" t="s">
        <v>1100</v>
      </c>
      <c r="L201" t="s">
        <v>1111</v>
      </c>
      <c r="M201" t="s">
        <v>261</v>
      </c>
      <c r="N201" t="s">
        <v>261</v>
      </c>
      <c r="O201" t="s">
        <v>261</v>
      </c>
      <c r="P201" t="s">
        <v>261</v>
      </c>
      <c r="Q201" t="s">
        <v>261</v>
      </c>
      <c r="R201" t="s">
        <v>261</v>
      </c>
      <c r="S201" t="s">
        <v>261</v>
      </c>
      <c r="T201" t="s">
        <v>261</v>
      </c>
      <c r="U201" t="s">
        <v>261</v>
      </c>
      <c r="V201" t="s">
        <v>261</v>
      </c>
    </row>
    <row r="202" spans="1:22">
      <c r="A202">
        <f t="shared" si="8"/>
        <v>201</v>
      </c>
      <c r="B202" s="101" t="s">
        <v>1101</v>
      </c>
      <c r="C202" s="6">
        <v>44418</v>
      </c>
      <c r="D202" t="s">
        <v>1103</v>
      </c>
      <c r="E202" t="s">
        <v>1104</v>
      </c>
      <c r="F202" t="s">
        <v>1105</v>
      </c>
      <c r="G202" t="s">
        <v>18</v>
      </c>
      <c r="H202">
        <v>1</v>
      </c>
      <c r="I202" s="8">
        <v>1307.2</v>
      </c>
      <c r="J202" s="8">
        <f t="shared" si="7"/>
        <v>1307.2</v>
      </c>
      <c r="K202" t="s">
        <v>1106</v>
      </c>
      <c r="L202" t="s">
        <v>681</v>
      </c>
      <c r="M202" t="s">
        <v>261</v>
      </c>
      <c r="N202" t="s">
        <v>261</v>
      </c>
      <c r="O202" t="s">
        <v>261</v>
      </c>
      <c r="P202" t="s">
        <v>261</v>
      </c>
      <c r="Q202" t="s">
        <v>261</v>
      </c>
      <c r="R202" t="s">
        <v>261</v>
      </c>
      <c r="S202" t="s">
        <v>261</v>
      </c>
      <c r="T202" t="s">
        <v>261</v>
      </c>
      <c r="U202" t="s">
        <v>261</v>
      </c>
      <c r="V202" t="s">
        <v>261</v>
      </c>
    </row>
    <row r="203" spans="1:22">
      <c r="A203">
        <f t="shared" si="8"/>
        <v>202</v>
      </c>
      <c r="B203" s="10" t="s">
        <v>1102</v>
      </c>
      <c r="C203" s="6">
        <v>44418</v>
      </c>
      <c r="D203" t="s">
        <v>1107</v>
      </c>
      <c r="E203" t="s">
        <v>1108</v>
      </c>
      <c r="F203" t="s">
        <v>1109</v>
      </c>
      <c r="G203" t="s">
        <v>685</v>
      </c>
      <c r="H203">
        <v>1</v>
      </c>
      <c r="I203" s="8">
        <v>1218.8499999999999</v>
      </c>
      <c r="J203" s="8">
        <f t="shared" si="7"/>
        <v>1218.8499999999999</v>
      </c>
      <c r="K203" t="s">
        <v>1110</v>
      </c>
      <c r="L203" t="s">
        <v>1114</v>
      </c>
      <c r="M203" t="s">
        <v>261</v>
      </c>
      <c r="N203" t="s">
        <v>261</v>
      </c>
      <c r="O203" t="s">
        <v>261</v>
      </c>
      <c r="P203" t="s">
        <v>261</v>
      </c>
      <c r="Q203" t="s">
        <v>261</v>
      </c>
      <c r="R203" t="s">
        <v>261</v>
      </c>
      <c r="S203" t="s">
        <v>261</v>
      </c>
      <c r="T203" t="s">
        <v>261</v>
      </c>
      <c r="U203" t="s">
        <v>261</v>
      </c>
      <c r="V203" t="s">
        <v>261</v>
      </c>
    </row>
    <row r="204" spans="1:22">
      <c r="A204">
        <f t="shared" si="8"/>
        <v>203</v>
      </c>
      <c r="B204" s="10" t="s">
        <v>1115</v>
      </c>
      <c r="C204" s="6">
        <v>44419</v>
      </c>
      <c r="D204" t="s">
        <v>1116</v>
      </c>
      <c r="E204" t="s">
        <v>1117</v>
      </c>
      <c r="F204" t="s">
        <v>1118</v>
      </c>
      <c r="G204" t="s">
        <v>18</v>
      </c>
      <c r="H204">
        <v>1</v>
      </c>
      <c r="I204" s="8">
        <v>1474</v>
      </c>
      <c r="J204" s="8">
        <f t="shared" si="7"/>
        <v>1474</v>
      </c>
      <c r="K204" t="s">
        <v>1119</v>
      </c>
      <c r="L204" t="s">
        <v>668</v>
      </c>
      <c r="M204" t="s">
        <v>261</v>
      </c>
      <c r="N204" t="s">
        <v>261</v>
      </c>
      <c r="O204" t="s">
        <v>261</v>
      </c>
      <c r="P204" t="s">
        <v>261</v>
      </c>
      <c r="Q204" t="s">
        <v>261</v>
      </c>
      <c r="R204" t="s">
        <v>261</v>
      </c>
      <c r="S204" t="s">
        <v>261</v>
      </c>
      <c r="T204" t="s">
        <v>261</v>
      </c>
      <c r="U204" t="s">
        <v>261</v>
      </c>
      <c r="V204" t="s">
        <v>261</v>
      </c>
    </row>
    <row r="205" spans="1:22">
      <c r="A205" s="12">
        <f t="shared" si="8"/>
        <v>204</v>
      </c>
      <c r="B205" s="10" t="s">
        <v>1384</v>
      </c>
      <c r="C205" s="6">
        <v>44419</v>
      </c>
      <c r="D205" t="s">
        <v>1120</v>
      </c>
      <c r="E205" t="s">
        <v>1121</v>
      </c>
      <c r="F205" t="s">
        <v>1385</v>
      </c>
      <c r="G205" t="s">
        <v>18</v>
      </c>
      <c r="H205">
        <v>2</v>
      </c>
      <c r="I205" s="8">
        <v>2565</v>
      </c>
      <c r="J205" s="8">
        <f t="shared" si="7"/>
        <v>1282.5</v>
      </c>
      <c r="K205" t="s">
        <v>1386</v>
      </c>
      <c r="L205" t="s">
        <v>403</v>
      </c>
      <c r="M205" t="s">
        <v>261</v>
      </c>
      <c r="N205" t="s">
        <v>261</v>
      </c>
      <c r="O205" t="s">
        <v>261</v>
      </c>
      <c r="P205" t="s">
        <v>261</v>
      </c>
      <c r="Q205" t="s">
        <v>261</v>
      </c>
      <c r="R205" t="s">
        <v>261</v>
      </c>
      <c r="S205" t="s">
        <v>261</v>
      </c>
      <c r="T205" t="s">
        <v>261</v>
      </c>
      <c r="U205" t="s">
        <v>261</v>
      </c>
      <c r="V205" t="s">
        <v>261</v>
      </c>
    </row>
    <row r="206" spans="1:22">
      <c r="A206" s="21">
        <f t="shared" si="8"/>
        <v>205</v>
      </c>
      <c r="B206" s="10" t="s">
        <v>1122</v>
      </c>
      <c r="C206" s="6">
        <v>44420</v>
      </c>
      <c r="D206" t="s">
        <v>1123</v>
      </c>
      <c r="E206" t="s">
        <v>1124</v>
      </c>
      <c r="F206" t="s">
        <v>1125</v>
      </c>
      <c r="G206" t="s">
        <v>18</v>
      </c>
      <c r="H206">
        <v>1</v>
      </c>
      <c r="I206" s="8">
        <v>1754.65</v>
      </c>
      <c r="J206" s="8">
        <f t="shared" si="7"/>
        <v>1754.65</v>
      </c>
      <c r="K206" t="s">
        <v>1126</v>
      </c>
      <c r="L206" t="s">
        <v>792</v>
      </c>
      <c r="M206" t="s">
        <v>261</v>
      </c>
      <c r="N206" t="s">
        <v>261</v>
      </c>
      <c r="O206" t="s">
        <v>261</v>
      </c>
      <c r="P206" t="s">
        <v>261</v>
      </c>
      <c r="Q206" t="s">
        <v>261</v>
      </c>
      <c r="R206" t="s">
        <v>261</v>
      </c>
      <c r="S206" t="s">
        <v>261</v>
      </c>
      <c r="T206" t="s">
        <v>261</v>
      </c>
      <c r="U206" t="s">
        <v>261</v>
      </c>
      <c r="V206" t="s">
        <v>261</v>
      </c>
    </row>
    <row r="207" spans="1:22">
      <c r="A207">
        <f t="shared" si="8"/>
        <v>206</v>
      </c>
      <c r="B207" s="10" t="s">
        <v>1127</v>
      </c>
      <c r="C207" s="6">
        <v>44411</v>
      </c>
      <c r="D207" t="s">
        <v>1128</v>
      </c>
      <c r="E207" t="s">
        <v>1129</v>
      </c>
      <c r="F207" t="s">
        <v>1130</v>
      </c>
      <c r="G207" t="s">
        <v>685</v>
      </c>
      <c r="H207">
        <v>1</v>
      </c>
      <c r="I207" s="8">
        <v>797</v>
      </c>
      <c r="J207" s="8">
        <f t="shared" si="7"/>
        <v>797</v>
      </c>
      <c r="K207" t="s">
        <v>1131</v>
      </c>
      <c r="L207" t="s">
        <v>403</v>
      </c>
      <c r="M207" t="s">
        <v>261</v>
      </c>
      <c r="N207" t="s">
        <v>261</v>
      </c>
      <c r="O207" t="s">
        <v>261</v>
      </c>
      <c r="P207" t="s">
        <v>261</v>
      </c>
      <c r="Q207" t="s">
        <v>261</v>
      </c>
      <c r="R207" t="s">
        <v>261</v>
      </c>
      <c r="S207" t="s">
        <v>261</v>
      </c>
      <c r="T207" t="s">
        <v>261</v>
      </c>
      <c r="U207" t="s">
        <v>261</v>
      </c>
      <c r="V207" t="s">
        <v>261</v>
      </c>
    </row>
    <row r="208" spans="1:22">
      <c r="A208">
        <f t="shared" si="8"/>
        <v>207</v>
      </c>
      <c r="B208" s="10" t="s">
        <v>1132</v>
      </c>
      <c r="C208" s="6">
        <v>44421</v>
      </c>
      <c r="D208" t="s">
        <v>1133</v>
      </c>
      <c r="E208" t="s">
        <v>1134</v>
      </c>
      <c r="F208" t="s">
        <v>1135</v>
      </c>
      <c r="G208" t="s">
        <v>18</v>
      </c>
      <c r="H208">
        <v>1</v>
      </c>
      <c r="I208" s="8">
        <v>2353.5</v>
      </c>
      <c r="J208" s="8">
        <f t="shared" si="7"/>
        <v>2353.5</v>
      </c>
      <c r="K208" t="s">
        <v>1136</v>
      </c>
      <c r="L208" t="s">
        <v>1152</v>
      </c>
      <c r="M208" t="s">
        <v>261</v>
      </c>
      <c r="N208" t="s">
        <v>261</v>
      </c>
      <c r="O208" t="s">
        <v>261</v>
      </c>
      <c r="P208" t="s">
        <v>261</v>
      </c>
      <c r="Q208" t="s">
        <v>261</v>
      </c>
      <c r="R208" t="s">
        <v>261</v>
      </c>
      <c r="S208" t="s">
        <v>261</v>
      </c>
      <c r="T208" t="s">
        <v>261</v>
      </c>
      <c r="U208" t="s">
        <v>261</v>
      </c>
      <c r="V208" t="s">
        <v>261</v>
      </c>
    </row>
    <row r="209" spans="1:22">
      <c r="A209" s="18">
        <f t="shared" si="8"/>
        <v>208</v>
      </c>
      <c r="B209" s="101" t="s">
        <v>1137</v>
      </c>
      <c r="C209" s="6">
        <v>44421</v>
      </c>
      <c r="D209" t="s">
        <v>1138</v>
      </c>
      <c r="E209" t="s">
        <v>1139</v>
      </c>
      <c r="F209" t="s">
        <v>1140</v>
      </c>
      <c r="G209" t="s">
        <v>18</v>
      </c>
      <c r="H209">
        <v>1</v>
      </c>
      <c r="I209" s="8">
        <v>636.84</v>
      </c>
      <c r="J209" s="8">
        <f t="shared" si="7"/>
        <v>636.84</v>
      </c>
      <c r="K209" t="s">
        <v>1141</v>
      </c>
      <c r="L209" t="s">
        <v>1153</v>
      </c>
      <c r="M209" t="s">
        <v>261</v>
      </c>
      <c r="N209" t="s">
        <v>261</v>
      </c>
      <c r="O209" t="s">
        <v>261</v>
      </c>
      <c r="P209" t="s">
        <v>261</v>
      </c>
      <c r="Q209" t="s">
        <v>261</v>
      </c>
      <c r="R209" t="s">
        <v>261</v>
      </c>
      <c r="S209" t="s">
        <v>261</v>
      </c>
      <c r="T209" t="s">
        <v>261</v>
      </c>
      <c r="U209" t="s">
        <v>261</v>
      </c>
      <c r="V209" t="s">
        <v>261</v>
      </c>
    </row>
    <row r="210" spans="1:22">
      <c r="A210" s="41">
        <f t="shared" si="8"/>
        <v>209</v>
      </c>
      <c r="B210" s="10" t="s">
        <v>1142</v>
      </c>
      <c r="C210" s="6">
        <v>44422</v>
      </c>
      <c r="D210" t="s">
        <v>1143</v>
      </c>
      <c r="E210" t="s">
        <v>1144</v>
      </c>
      <c r="F210" t="s">
        <v>1145</v>
      </c>
      <c r="G210" t="s">
        <v>18</v>
      </c>
      <c r="H210">
        <v>1</v>
      </c>
      <c r="I210" s="8">
        <v>860</v>
      </c>
      <c r="J210" s="8">
        <f t="shared" si="7"/>
        <v>860</v>
      </c>
      <c r="K210" t="s">
        <v>1146</v>
      </c>
      <c r="L210" t="s">
        <v>1151</v>
      </c>
      <c r="M210" t="s">
        <v>261</v>
      </c>
      <c r="N210" t="s">
        <v>261</v>
      </c>
      <c r="O210" t="s">
        <v>261</v>
      </c>
      <c r="P210" t="s">
        <v>261</v>
      </c>
      <c r="Q210" t="s">
        <v>261</v>
      </c>
      <c r="R210" t="s">
        <v>261</v>
      </c>
      <c r="S210" t="s">
        <v>261</v>
      </c>
      <c r="T210" t="s">
        <v>261</v>
      </c>
      <c r="U210" t="s">
        <v>261</v>
      </c>
      <c r="V210" t="s">
        <v>261</v>
      </c>
    </row>
    <row r="211" spans="1:22">
      <c r="A211">
        <f t="shared" si="8"/>
        <v>210</v>
      </c>
      <c r="B211" s="103" t="s">
        <v>1147</v>
      </c>
      <c r="C211" s="6">
        <v>44422</v>
      </c>
      <c r="D211" t="s">
        <v>1148</v>
      </c>
      <c r="F211" t="s">
        <v>1149</v>
      </c>
      <c r="G211" t="s">
        <v>18</v>
      </c>
      <c r="H211">
        <v>1</v>
      </c>
      <c r="I211" s="8">
        <v>901</v>
      </c>
      <c r="J211" s="8">
        <f t="shared" si="7"/>
        <v>901</v>
      </c>
      <c r="K211" t="s">
        <v>117</v>
      </c>
      <c r="L211" t="s">
        <v>1150</v>
      </c>
      <c r="M211" t="s">
        <v>261</v>
      </c>
      <c r="N211" t="s">
        <v>261</v>
      </c>
      <c r="O211" t="s">
        <v>261</v>
      </c>
      <c r="P211" t="s">
        <v>261</v>
      </c>
      <c r="Q211" t="s">
        <v>261</v>
      </c>
      <c r="R211" t="s">
        <v>261</v>
      </c>
      <c r="S211" t="s">
        <v>261</v>
      </c>
      <c r="T211" t="s">
        <v>261</v>
      </c>
      <c r="U211" t="s">
        <v>261</v>
      </c>
      <c r="V211" t="s">
        <v>261</v>
      </c>
    </row>
    <row r="212" spans="1:22">
      <c r="A212">
        <f t="shared" si="8"/>
        <v>211</v>
      </c>
      <c r="B212" s="10" t="s">
        <v>1154</v>
      </c>
      <c r="C212" s="6">
        <v>44424</v>
      </c>
      <c r="D212" t="s">
        <v>1155</v>
      </c>
      <c r="E212" t="s">
        <v>1156</v>
      </c>
      <c r="F212" t="s">
        <v>1157</v>
      </c>
      <c r="G212" t="s">
        <v>18</v>
      </c>
      <c r="H212">
        <v>1</v>
      </c>
      <c r="I212" s="8">
        <v>2284.1999999999998</v>
      </c>
      <c r="J212" s="8">
        <f t="shared" si="7"/>
        <v>2284.1999999999998</v>
      </c>
      <c r="K212" t="s">
        <v>1158</v>
      </c>
      <c r="L212" t="s">
        <v>1164</v>
      </c>
      <c r="M212" t="s">
        <v>261</v>
      </c>
      <c r="N212" t="s">
        <v>261</v>
      </c>
      <c r="O212" t="s">
        <v>261</v>
      </c>
      <c r="P212" t="s">
        <v>261</v>
      </c>
      <c r="Q212" t="s">
        <v>261</v>
      </c>
      <c r="R212" t="s">
        <v>261</v>
      </c>
      <c r="S212" t="s">
        <v>261</v>
      </c>
      <c r="T212" t="s">
        <v>261</v>
      </c>
      <c r="U212" t="s">
        <v>261</v>
      </c>
      <c r="V212" t="s">
        <v>261</v>
      </c>
    </row>
    <row r="213" spans="1:22">
      <c r="A213">
        <f t="shared" si="8"/>
        <v>212</v>
      </c>
      <c r="B213" s="10" t="s">
        <v>1159</v>
      </c>
      <c r="C213" s="6">
        <v>44425</v>
      </c>
      <c r="D213" t="s">
        <v>1160</v>
      </c>
      <c r="E213" t="s">
        <v>1161</v>
      </c>
      <c r="F213" t="s">
        <v>1162</v>
      </c>
      <c r="G213" t="s">
        <v>18</v>
      </c>
      <c r="H213">
        <v>1</v>
      </c>
      <c r="I213" s="8">
        <v>1577</v>
      </c>
      <c r="J213" s="8">
        <f t="shared" si="7"/>
        <v>1577</v>
      </c>
      <c r="K213" t="s">
        <v>1163</v>
      </c>
      <c r="L213" t="s">
        <v>1169</v>
      </c>
      <c r="M213" t="s">
        <v>261</v>
      </c>
      <c r="N213" t="s">
        <v>261</v>
      </c>
      <c r="O213" t="s">
        <v>261</v>
      </c>
      <c r="P213" t="s">
        <v>261</v>
      </c>
      <c r="Q213" t="s">
        <v>261</v>
      </c>
      <c r="R213" t="s">
        <v>261</v>
      </c>
      <c r="S213" t="s">
        <v>261</v>
      </c>
      <c r="T213" t="s">
        <v>261</v>
      </c>
      <c r="U213" t="s">
        <v>261</v>
      </c>
      <c r="V213" t="s">
        <v>261</v>
      </c>
    </row>
    <row r="214" spans="1:22">
      <c r="A214">
        <f>+A213+1</f>
        <v>213</v>
      </c>
      <c r="B214" s="10" t="s">
        <v>1165</v>
      </c>
      <c r="C214" s="6">
        <v>44426</v>
      </c>
      <c r="D214" t="s">
        <v>1166</v>
      </c>
      <c r="E214" t="s">
        <v>1167</v>
      </c>
      <c r="F214" s="11" t="s">
        <v>2426</v>
      </c>
      <c r="G214" t="s">
        <v>18</v>
      </c>
      <c r="H214">
        <v>1</v>
      </c>
      <c r="I214" s="8">
        <v>2337</v>
      </c>
      <c r="J214" s="8">
        <f t="shared" si="7"/>
        <v>2337</v>
      </c>
      <c r="K214" t="s">
        <v>1168</v>
      </c>
      <c r="L214" t="s">
        <v>281</v>
      </c>
      <c r="M214" t="s">
        <v>261</v>
      </c>
      <c r="N214" t="s">
        <v>261</v>
      </c>
      <c r="O214" t="s">
        <v>261</v>
      </c>
      <c r="P214" t="s">
        <v>261</v>
      </c>
      <c r="Q214" t="s">
        <v>261</v>
      </c>
      <c r="R214" t="s">
        <v>261</v>
      </c>
      <c r="S214" t="s">
        <v>261</v>
      </c>
      <c r="T214" t="s">
        <v>261</v>
      </c>
      <c r="U214" t="s">
        <v>261</v>
      </c>
      <c r="V214" t="s">
        <v>261</v>
      </c>
    </row>
    <row r="215" spans="1:22">
      <c r="A215">
        <f t="shared" si="8"/>
        <v>214</v>
      </c>
      <c r="B215" s="10" t="s">
        <v>1170</v>
      </c>
      <c r="C215" s="6">
        <v>44426</v>
      </c>
      <c r="D215" t="s">
        <v>1171</v>
      </c>
      <c r="E215" t="s">
        <v>1172</v>
      </c>
      <c r="F215" t="s">
        <v>1173</v>
      </c>
      <c r="G215" t="s">
        <v>18</v>
      </c>
      <c r="H215">
        <v>1</v>
      </c>
      <c r="I215" s="8">
        <v>1579.85</v>
      </c>
      <c r="J215" s="8">
        <f t="shared" si="7"/>
        <v>1579.85</v>
      </c>
      <c r="K215" t="s">
        <v>1174</v>
      </c>
      <c r="L215" t="s">
        <v>1175</v>
      </c>
      <c r="M215" t="s">
        <v>261</v>
      </c>
      <c r="N215" t="s">
        <v>261</v>
      </c>
      <c r="O215" t="s">
        <v>261</v>
      </c>
      <c r="P215" t="s">
        <v>261</v>
      </c>
      <c r="Q215" t="s">
        <v>261</v>
      </c>
      <c r="R215" t="s">
        <v>261</v>
      </c>
      <c r="S215" t="s">
        <v>261</v>
      </c>
      <c r="T215" t="s">
        <v>261</v>
      </c>
      <c r="U215" t="s">
        <v>261</v>
      </c>
      <c r="V215" t="s">
        <v>261</v>
      </c>
    </row>
    <row r="216" spans="1:22">
      <c r="A216">
        <f t="shared" si="8"/>
        <v>215</v>
      </c>
      <c r="B216" s="10" t="s">
        <v>1178</v>
      </c>
      <c r="C216" s="6">
        <v>44417</v>
      </c>
      <c r="D216" t="s">
        <v>1179</v>
      </c>
      <c r="E216" t="s">
        <v>1180</v>
      </c>
      <c r="F216" t="s">
        <v>1181</v>
      </c>
      <c r="G216" t="s">
        <v>18</v>
      </c>
      <c r="H216">
        <v>1</v>
      </c>
      <c r="I216" s="8">
        <v>1031.4000000000001</v>
      </c>
      <c r="J216" s="8">
        <f t="shared" si="7"/>
        <v>1031.4000000000001</v>
      </c>
      <c r="K216" t="s">
        <v>1182</v>
      </c>
      <c r="L216" t="s">
        <v>403</v>
      </c>
      <c r="M216" t="s">
        <v>261</v>
      </c>
      <c r="N216" t="s">
        <v>261</v>
      </c>
      <c r="O216" t="s">
        <v>261</v>
      </c>
      <c r="P216" t="s">
        <v>261</v>
      </c>
      <c r="Q216" t="s">
        <v>261</v>
      </c>
      <c r="R216" t="s">
        <v>261</v>
      </c>
      <c r="S216" t="s">
        <v>261</v>
      </c>
      <c r="T216" t="s">
        <v>261</v>
      </c>
      <c r="U216" t="s">
        <v>261</v>
      </c>
      <c r="V216" t="s">
        <v>261</v>
      </c>
    </row>
    <row r="217" spans="1:22">
      <c r="A217" s="18">
        <f t="shared" si="8"/>
        <v>216</v>
      </c>
      <c r="B217" s="101" t="s">
        <v>1183</v>
      </c>
      <c r="C217" s="6">
        <v>44428</v>
      </c>
      <c r="D217" t="s">
        <v>1184</v>
      </c>
      <c r="E217" t="s">
        <v>1185</v>
      </c>
      <c r="F217" t="s">
        <v>1186</v>
      </c>
      <c r="G217" t="s">
        <v>18</v>
      </c>
      <c r="H217">
        <v>1</v>
      </c>
      <c r="I217" s="8">
        <v>2112.5300000000002</v>
      </c>
      <c r="J217" s="8">
        <f t="shared" si="7"/>
        <v>2112.5300000000002</v>
      </c>
      <c r="K217" t="s">
        <v>1187</v>
      </c>
      <c r="L217" t="s">
        <v>1207</v>
      </c>
      <c r="M217" t="s">
        <v>261</v>
      </c>
      <c r="N217" t="s">
        <v>261</v>
      </c>
      <c r="O217" t="s">
        <v>261</v>
      </c>
      <c r="P217" t="s">
        <v>261</v>
      </c>
      <c r="Q217" t="s">
        <v>261</v>
      </c>
      <c r="R217" t="s">
        <v>261</v>
      </c>
      <c r="S217" t="s">
        <v>261</v>
      </c>
      <c r="T217" t="s">
        <v>261</v>
      </c>
      <c r="U217" t="s">
        <v>261</v>
      </c>
      <c r="V217" t="s">
        <v>261</v>
      </c>
    </row>
    <row r="218" spans="1:22">
      <c r="A218" s="41">
        <f t="shared" si="8"/>
        <v>217</v>
      </c>
      <c r="B218" s="10" t="s">
        <v>1188</v>
      </c>
      <c r="C218" s="6">
        <v>44428</v>
      </c>
      <c r="D218" t="s">
        <v>1189</v>
      </c>
      <c r="E218" t="s">
        <v>1190</v>
      </c>
      <c r="F218" t="s">
        <v>1191</v>
      </c>
      <c r="G218" t="s">
        <v>18</v>
      </c>
      <c r="H218">
        <v>1</v>
      </c>
      <c r="I218" s="8">
        <v>1666</v>
      </c>
      <c r="J218" s="8">
        <f t="shared" si="7"/>
        <v>1666</v>
      </c>
      <c r="K218" t="s">
        <v>175</v>
      </c>
      <c r="L218" t="s">
        <v>1209</v>
      </c>
      <c r="M218" t="s">
        <v>261</v>
      </c>
      <c r="N218" t="s">
        <v>261</v>
      </c>
      <c r="O218" t="s">
        <v>261</v>
      </c>
      <c r="P218" t="s">
        <v>261</v>
      </c>
      <c r="Q218" t="s">
        <v>261</v>
      </c>
      <c r="R218" t="s">
        <v>261</v>
      </c>
      <c r="S218" t="s">
        <v>261</v>
      </c>
      <c r="T218" t="s">
        <v>261</v>
      </c>
      <c r="U218" t="s">
        <v>261</v>
      </c>
      <c r="V218" t="s">
        <v>261</v>
      </c>
    </row>
    <row r="219" spans="1:22">
      <c r="A219">
        <f t="shared" si="8"/>
        <v>218</v>
      </c>
      <c r="B219" s="10" t="s">
        <v>1192</v>
      </c>
      <c r="C219" s="6">
        <v>44429</v>
      </c>
      <c r="D219" t="s">
        <v>1193</v>
      </c>
      <c r="E219" t="s">
        <v>1194</v>
      </c>
      <c r="F219" t="s">
        <v>1195</v>
      </c>
      <c r="G219" t="s">
        <v>18</v>
      </c>
      <c r="H219">
        <v>1</v>
      </c>
      <c r="I219" s="8">
        <v>936.7</v>
      </c>
      <c r="J219" s="8">
        <f t="shared" si="7"/>
        <v>936.7</v>
      </c>
      <c r="K219" t="s">
        <v>1196</v>
      </c>
      <c r="L219" t="s">
        <v>20</v>
      </c>
      <c r="M219" t="s">
        <v>261</v>
      </c>
      <c r="N219" t="s">
        <v>261</v>
      </c>
      <c r="O219" t="s">
        <v>261</v>
      </c>
      <c r="P219" t="s">
        <v>261</v>
      </c>
      <c r="Q219" t="s">
        <v>261</v>
      </c>
      <c r="R219" t="s">
        <v>261</v>
      </c>
      <c r="S219" t="s">
        <v>261</v>
      </c>
      <c r="T219" t="s">
        <v>261</v>
      </c>
      <c r="U219" t="s">
        <v>261</v>
      </c>
      <c r="V219" t="s">
        <v>261</v>
      </c>
    </row>
    <row r="220" spans="1:22">
      <c r="A220">
        <f t="shared" si="8"/>
        <v>219</v>
      </c>
      <c r="B220" s="10" t="s">
        <v>1197</v>
      </c>
      <c r="C220" s="6">
        <v>44428</v>
      </c>
      <c r="D220" t="s">
        <v>1198</v>
      </c>
      <c r="E220" t="s">
        <v>1199</v>
      </c>
      <c r="F220" t="s">
        <v>1200</v>
      </c>
      <c r="G220" t="s">
        <v>18</v>
      </c>
      <c r="H220">
        <v>1</v>
      </c>
      <c r="I220" s="8">
        <v>950.4</v>
      </c>
      <c r="J220" s="8">
        <f t="shared" si="7"/>
        <v>950.4</v>
      </c>
      <c r="K220" t="s">
        <v>1201</v>
      </c>
      <c r="L220" t="s">
        <v>1208</v>
      </c>
      <c r="M220" t="s">
        <v>261</v>
      </c>
      <c r="N220" t="s">
        <v>261</v>
      </c>
      <c r="O220" t="s">
        <v>261</v>
      </c>
      <c r="P220" t="s">
        <v>261</v>
      </c>
      <c r="Q220" t="s">
        <v>261</v>
      </c>
      <c r="R220" t="s">
        <v>261</v>
      </c>
      <c r="S220" t="s">
        <v>261</v>
      </c>
      <c r="T220" t="s">
        <v>261</v>
      </c>
      <c r="U220" t="s">
        <v>261</v>
      </c>
      <c r="V220" t="s">
        <v>261</v>
      </c>
    </row>
    <row r="221" spans="1:22">
      <c r="A221">
        <f t="shared" si="8"/>
        <v>220</v>
      </c>
      <c r="B221" s="10" t="s">
        <v>1210</v>
      </c>
      <c r="C221" s="6">
        <v>44431</v>
      </c>
      <c r="D221" t="s">
        <v>1202</v>
      </c>
      <c r="E221" t="s">
        <v>1203</v>
      </c>
      <c r="F221" t="s">
        <v>1204</v>
      </c>
      <c r="G221" t="s">
        <v>18</v>
      </c>
      <c r="H221">
        <v>1</v>
      </c>
      <c r="I221" s="8">
        <v>803.7</v>
      </c>
      <c r="J221" s="8">
        <f t="shared" si="7"/>
        <v>803.7</v>
      </c>
      <c r="K221" t="s">
        <v>1205</v>
      </c>
      <c r="L221" t="s">
        <v>1206</v>
      </c>
      <c r="M221" t="s">
        <v>261</v>
      </c>
      <c r="N221" t="s">
        <v>261</v>
      </c>
      <c r="O221" t="s">
        <v>261</v>
      </c>
      <c r="P221" t="s">
        <v>261</v>
      </c>
      <c r="Q221" t="s">
        <v>261</v>
      </c>
      <c r="R221" t="s">
        <v>261</v>
      </c>
      <c r="S221" t="s">
        <v>261</v>
      </c>
      <c r="T221" t="s">
        <v>261</v>
      </c>
      <c r="U221" t="s">
        <v>261</v>
      </c>
      <c r="V221" t="s">
        <v>261</v>
      </c>
    </row>
    <row r="222" spans="1:22">
      <c r="A222">
        <f t="shared" si="8"/>
        <v>221</v>
      </c>
      <c r="B222" s="10" t="s">
        <v>1211</v>
      </c>
      <c r="C222" s="6">
        <v>44426</v>
      </c>
      <c r="D222" t="s">
        <v>1215</v>
      </c>
      <c r="E222" t="s">
        <v>1216</v>
      </c>
      <c r="F222" t="s">
        <v>1217</v>
      </c>
      <c r="G222" t="s">
        <v>18</v>
      </c>
      <c r="H222">
        <v>1</v>
      </c>
      <c r="I222" s="8">
        <v>905</v>
      </c>
      <c r="J222" s="8">
        <f t="shared" si="7"/>
        <v>905</v>
      </c>
      <c r="K222" t="s">
        <v>1218</v>
      </c>
      <c r="L222" t="s">
        <v>1219</v>
      </c>
      <c r="M222" t="s">
        <v>261</v>
      </c>
      <c r="N222" t="s">
        <v>261</v>
      </c>
      <c r="O222" t="s">
        <v>261</v>
      </c>
      <c r="P222" t="s">
        <v>261</v>
      </c>
      <c r="Q222" t="s">
        <v>261</v>
      </c>
      <c r="R222" t="s">
        <v>261</v>
      </c>
      <c r="S222" t="s">
        <v>261</v>
      </c>
      <c r="T222" t="s">
        <v>261</v>
      </c>
      <c r="U222" t="s">
        <v>261</v>
      </c>
      <c r="V222" t="s">
        <v>261</v>
      </c>
    </row>
    <row r="223" spans="1:22">
      <c r="A223">
        <f t="shared" si="8"/>
        <v>222</v>
      </c>
      <c r="B223" s="10" t="s">
        <v>1212</v>
      </c>
      <c r="C223" s="6">
        <v>44432</v>
      </c>
      <c r="D223" t="s">
        <v>1220</v>
      </c>
      <c r="E223" t="s">
        <v>1221</v>
      </c>
      <c r="F223" t="s">
        <v>1222</v>
      </c>
      <c r="G223" t="s">
        <v>18</v>
      </c>
      <c r="H223">
        <v>1</v>
      </c>
      <c r="I223" s="8">
        <v>1592</v>
      </c>
      <c r="J223" s="8">
        <f t="shared" si="7"/>
        <v>1592</v>
      </c>
      <c r="K223" t="s">
        <v>1223</v>
      </c>
      <c r="L223" t="s">
        <v>1248</v>
      </c>
      <c r="M223" t="s">
        <v>261</v>
      </c>
      <c r="N223" t="s">
        <v>261</v>
      </c>
      <c r="O223" t="s">
        <v>261</v>
      </c>
      <c r="P223" t="s">
        <v>261</v>
      </c>
      <c r="Q223" t="s">
        <v>261</v>
      </c>
      <c r="R223" t="s">
        <v>261</v>
      </c>
      <c r="S223" t="s">
        <v>261</v>
      </c>
      <c r="T223" t="s">
        <v>261</v>
      </c>
      <c r="U223" t="s">
        <v>261</v>
      </c>
      <c r="V223" t="s">
        <v>261</v>
      </c>
    </row>
    <row r="224" spans="1:22">
      <c r="A224">
        <f t="shared" si="8"/>
        <v>223</v>
      </c>
      <c r="B224" s="101" t="s">
        <v>1213</v>
      </c>
      <c r="C224" s="6">
        <v>44432</v>
      </c>
      <c r="D224" t="s">
        <v>1224</v>
      </c>
      <c r="E224" t="s">
        <v>1225</v>
      </c>
      <c r="F224" t="s">
        <v>1226</v>
      </c>
      <c r="G224" t="s">
        <v>18</v>
      </c>
      <c r="H224">
        <v>1</v>
      </c>
      <c r="I224" s="8">
        <v>817</v>
      </c>
      <c r="J224" s="8">
        <f t="shared" si="7"/>
        <v>817</v>
      </c>
      <c r="K224" t="s">
        <v>1227</v>
      </c>
      <c r="L224" t="s">
        <v>1231</v>
      </c>
      <c r="M224" t="s">
        <v>261</v>
      </c>
      <c r="N224" t="s">
        <v>261</v>
      </c>
      <c r="O224" t="s">
        <v>261</v>
      </c>
      <c r="P224" t="s">
        <v>261</v>
      </c>
      <c r="Q224" t="s">
        <v>261</v>
      </c>
      <c r="R224" t="s">
        <v>261</v>
      </c>
      <c r="S224" t="s">
        <v>261</v>
      </c>
      <c r="T224" t="s">
        <v>261</v>
      </c>
      <c r="U224" t="s">
        <v>261</v>
      </c>
      <c r="V224" t="s">
        <v>261</v>
      </c>
    </row>
    <row r="225" spans="1:22">
      <c r="A225" s="18">
        <f t="shared" si="8"/>
        <v>224</v>
      </c>
      <c r="B225" s="101" t="s">
        <v>1214</v>
      </c>
      <c r="C225" s="6">
        <v>44433</v>
      </c>
      <c r="D225" s="11" t="s">
        <v>1228</v>
      </c>
      <c r="E225" t="s">
        <v>1229</v>
      </c>
      <c r="F225" t="s">
        <v>1230</v>
      </c>
      <c r="G225" t="s">
        <v>18</v>
      </c>
      <c r="H225">
        <v>1</v>
      </c>
      <c r="I225" s="8">
        <v>2970</v>
      </c>
      <c r="J225" s="8">
        <f t="shared" si="7"/>
        <v>2970</v>
      </c>
      <c r="K225" t="s">
        <v>518</v>
      </c>
      <c r="L225" t="s">
        <v>1232</v>
      </c>
      <c r="M225" t="s">
        <v>261</v>
      </c>
      <c r="N225" t="s">
        <v>261</v>
      </c>
      <c r="O225" t="s">
        <v>261</v>
      </c>
      <c r="P225" t="s">
        <v>261</v>
      </c>
      <c r="Q225" t="s">
        <v>261</v>
      </c>
      <c r="R225" t="s">
        <v>261</v>
      </c>
      <c r="S225" t="s">
        <v>261</v>
      </c>
      <c r="T225" t="s">
        <v>261</v>
      </c>
      <c r="U225" t="s">
        <v>261</v>
      </c>
      <c r="V225" t="s">
        <v>261</v>
      </c>
    </row>
    <row r="226" spans="1:22">
      <c r="A226" s="21">
        <f>+A225+1</f>
        <v>225</v>
      </c>
      <c r="B226" s="10" t="s">
        <v>1235</v>
      </c>
      <c r="C226" s="6">
        <v>44424</v>
      </c>
      <c r="D226" t="s">
        <v>1236</v>
      </c>
      <c r="E226" t="s">
        <v>1237</v>
      </c>
      <c r="F226" t="s">
        <v>1238</v>
      </c>
      <c r="G226" t="s">
        <v>18</v>
      </c>
      <c r="H226">
        <v>1</v>
      </c>
      <c r="I226" s="8">
        <v>3043</v>
      </c>
      <c r="J226" s="8">
        <f t="shared" si="7"/>
        <v>3043</v>
      </c>
      <c r="K226" t="s">
        <v>1239</v>
      </c>
      <c r="L226" t="s">
        <v>1240</v>
      </c>
      <c r="M226" t="s">
        <v>261</v>
      </c>
      <c r="N226" t="s">
        <v>261</v>
      </c>
      <c r="O226" t="s">
        <v>261</v>
      </c>
      <c r="P226" t="s">
        <v>261</v>
      </c>
      <c r="Q226" t="s">
        <v>261</v>
      </c>
      <c r="R226" t="s">
        <v>261</v>
      </c>
      <c r="S226" t="s">
        <v>261</v>
      </c>
      <c r="T226" t="s">
        <v>261</v>
      </c>
      <c r="U226" t="s">
        <v>261</v>
      </c>
      <c r="V226" t="s">
        <v>261</v>
      </c>
    </row>
    <row r="227" spans="1:22">
      <c r="A227" s="41">
        <f t="shared" si="8"/>
        <v>226</v>
      </c>
      <c r="B227" s="10" t="s">
        <v>1243</v>
      </c>
      <c r="C227" s="6">
        <v>44424</v>
      </c>
      <c r="D227" t="s">
        <v>1244</v>
      </c>
      <c r="E227" t="s">
        <v>1245</v>
      </c>
      <c r="F227" t="s">
        <v>1246</v>
      </c>
      <c r="G227" t="s">
        <v>18</v>
      </c>
      <c r="H227">
        <v>1</v>
      </c>
      <c r="I227" s="8">
        <v>1339.65</v>
      </c>
      <c r="J227" s="8">
        <f t="shared" si="7"/>
        <v>1339.65</v>
      </c>
      <c r="K227" t="s">
        <v>1247</v>
      </c>
      <c r="L227" t="s">
        <v>1270</v>
      </c>
      <c r="M227" t="s">
        <v>261</v>
      </c>
      <c r="N227" t="s">
        <v>261</v>
      </c>
      <c r="O227" t="s">
        <v>261</v>
      </c>
      <c r="P227" t="s">
        <v>261</v>
      </c>
      <c r="Q227" t="s">
        <v>261</v>
      </c>
      <c r="R227" t="s">
        <v>261</v>
      </c>
      <c r="S227" t="s">
        <v>261</v>
      </c>
      <c r="T227" t="s">
        <v>261</v>
      </c>
      <c r="U227" t="s">
        <v>261</v>
      </c>
      <c r="V227" t="s">
        <v>261</v>
      </c>
    </row>
    <row r="228" spans="1:22">
      <c r="A228">
        <f t="shared" si="8"/>
        <v>227</v>
      </c>
      <c r="B228" s="10" t="s">
        <v>1249</v>
      </c>
      <c r="C228" s="6">
        <v>44435</v>
      </c>
      <c r="D228" t="s">
        <v>1250</v>
      </c>
      <c r="E228" t="s">
        <v>1251</v>
      </c>
      <c r="F228" t="s">
        <v>1252</v>
      </c>
      <c r="G228" t="s">
        <v>18</v>
      </c>
      <c r="H228">
        <v>1</v>
      </c>
      <c r="I228" s="8">
        <v>1022.2</v>
      </c>
      <c r="J228" s="8">
        <f t="shared" si="7"/>
        <v>1022.2</v>
      </c>
      <c r="K228" t="s">
        <v>1253</v>
      </c>
      <c r="L228" t="s">
        <v>1264</v>
      </c>
      <c r="M228" t="s">
        <v>261</v>
      </c>
      <c r="N228" t="s">
        <v>261</v>
      </c>
      <c r="O228" t="s">
        <v>261</v>
      </c>
      <c r="P228" t="s">
        <v>261</v>
      </c>
      <c r="Q228" t="s">
        <v>261</v>
      </c>
      <c r="R228" t="s">
        <v>261</v>
      </c>
      <c r="S228" t="s">
        <v>261</v>
      </c>
      <c r="T228" t="s">
        <v>261</v>
      </c>
      <c r="U228" t="s">
        <v>261</v>
      </c>
      <c r="V228" t="s">
        <v>261</v>
      </c>
    </row>
    <row r="229" spans="1:22">
      <c r="A229">
        <f t="shared" si="8"/>
        <v>228</v>
      </c>
      <c r="B229" s="10" t="s">
        <v>1254</v>
      </c>
      <c r="C229" s="6">
        <v>44435</v>
      </c>
      <c r="D229" t="s">
        <v>1255</v>
      </c>
      <c r="E229" t="s">
        <v>1256</v>
      </c>
      <c r="F229" t="s">
        <v>1257</v>
      </c>
      <c r="G229" t="s">
        <v>18</v>
      </c>
      <c r="H229">
        <v>1</v>
      </c>
      <c r="I229" s="8">
        <v>2289</v>
      </c>
      <c r="J229" s="8">
        <f t="shared" si="7"/>
        <v>2289</v>
      </c>
      <c r="K229" t="s">
        <v>1258</v>
      </c>
      <c r="L229" t="s">
        <v>747</v>
      </c>
      <c r="M229" t="s">
        <v>261</v>
      </c>
      <c r="N229" t="s">
        <v>261</v>
      </c>
      <c r="O229" t="s">
        <v>261</v>
      </c>
      <c r="P229" t="s">
        <v>261</v>
      </c>
      <c r="Q229" t="s">
        <v>261</v>
      </c>
      <c r="R229" t="s">
        <v>261</v>
      </c>
      <c r="S229" t="s">
        <v>261</v>
      </c>
      <c r="T229" t="s">
        <v>261</v>
      </c>
      <c r="U229" t="s">
        <v>261</v>
      </c>
      <c r="V229" t="s">
        <v>261</v>
      </c>
    </row>
    <row r="230" spans="1:22">
      <c r="A230">
        <f t="shared" si="8"/>
        <v>229</v>
      </c>
      <c r="B230" s="10" t="s">
        <v>1259</v>
      </c>
      <c r="C230" s="6">
        <v>44436</v>
      </c>
      <c r="D230" t="s">
        <v>1260</v>
      </c>
      <c r="E230" t="s">
        <v>1261</v>
      </c>
      <c r="F230" t="s">
        <v>1262</v>
      </c>
      <c r="G230" t="s">
        <v>18</v>
      </c>
      <c r="H230">
        <v>1</v>
      </c>
      <c r="I230" s="8">
        <v>1092.5999999999999</v>
      </c>
      <c r="J230" s="8">
        <f t="shared" si="7"/>
        <v>1092.5999999999999</v>
      </c>
      <c r="K230" t="s">
        <v>1263</v>
      </c>
      <c r="L230" t="s">
        <v>403</v>
      </c>
      <c r="M230" t="s">
        <v>261</v>
      </c>
      <c r="N230" t="s">
        <v>261</v>
      </c>
      <c r="O230" t="s">
        <v>261</v>
      </c>
      <c r="P230" t="s">
        <v>261</v>
      </c>
      <c r="Q230" t="s">
        <v>261</v>
      </c>
      <c r="R230" t="s">
        <v>261</v>
      </c>
      <c r="S230" t="s">
        <v>261</v>
      </c>
      <c r="T230" t="s">
        <v>261</v>
      </c>
      <c r="U230" t="s">
        <v>261</v>
      </c>
      <c r="V230" t="s">
        <v>261</v>
      </c>
    </row>
    <row r="231" spans="1:22">
      <c r="A231" s="21">
        <f t="shared" si="8"/>
        <v>230</v>
      </c>
      <c r="B231" s="10" t="s">
        <v>1266</v>
      </c>
      <c r="C231" s="6">
        <v>44438</v>
      </c>
      <c r="D231" t="s">
        <v>2417</v>
      </c>
      <c r="E231" t="s">
        <v>1267</v>
      </c>
      <c r="F231" t="s">
        <v>1268</v>
      </c>
      <c r="G231" t="s">
        <v>63</v>
      </c>
      <c r="H231">
        <v>1</v>
      </c>
      <c r="I231" s="8">
        <v>3241.8</v>
      </c>
      <c r="J231" s="8">
        <f t="shared" si="7"/>
        <v>3241.8</v>
      </c>
      <c r="K231" s="11" t="s">
        <v>1269</v>
      </c>
      <c r="L231" t="s">
        <v>1324</v>
      </c>
      <c r="M231" t="s">
        <v>261</v>
      </c>
      <c r="N231" t="s">
        <v>261</v>
      </c>
      <c r="O231" t="s">
        <v>261</v>
      </c>
      <c r="P231" t="s">
        <v>261</v>
      </c>
      <c r="Q231" t="s">
        <v>261</v>
      </c>
      <c r="R231" t="s">
        <v>261</v>
      </c>
      <c r="S231" t="s">
        <v>261</v>
      </c>
      <c r="T231" t="s">
        <v>261</v>
      </c>
      <c r="U231" t="s">
        <v>261</v>
      </c>
      <c r="V231" t="s">
        <v>261</v>
      </c>
    </row>
    <row r="232" spans="1:22">
      <c r="A232" s="41">
        <f t="shared" si="8"/>
        <v>231</v>
      </c>
      <c r="B232" s="10" t="s">
        <v>1271</v>
      </c>
      <c r="C232" s="6">
        <v>44439</v>
      </c>
      <c r="D232" t="s">
        <v>1272</v>
      </c>
      <c r="E232" t="s">
        <v>1273</v>
      </c>
      <c r="F232" t="s">
        <v>1274</v>
      </c>
      <c r="G232" t="s">
        <v>18</v>
      </c>
      <c r="H232">
        <v>1</v>
      </c>
      <c r="I232" s="8">
        <v>5864.4</v>
      </c>
      <c r="J232" s="8">
        <f t="shared" si="7"/>
        <v>5864.4</v>
      </c>
      <c r="K232" t="s">
        <v>1275</v>
      </c>
      <c r="L232" t="s">
        <v>1276</v>
      </c>
      <c r="M232" t="s">
        <v>261</v>
      </c>
      <c r="N232" t="s">
        <v>261</v>
      </c>
      <c r="O232" t="s">
        <v>261</v>
      </c>
      <c r="P232" t="s">
        <v>261</v>
      </c>
      <c r="Q232" t="s">
        <v>261</v>
      </c>
      <c r="R232" t="s">
        <v>261</v>
      </c>
      <c r="S232" t="s">
        <v>261</v>
      </c>
      <c r="T232" t="s">
        <v>261</v>
      </c>
      <c r="U232" t="s">
        <v>261</v>
      </c>
      <c r="V232" t="s">
        <v>261</v>
      </c>
    </row>
    <row r="233" spans="1:22">
      <c r="A233">
        <f t="shared" si="8"/>
        <v>232</v>
      </c>
      <c r="B233" s="101" t="s">
        <v>1277</v>
      </c>
      <c r="C233" s="6">
        <v>44440</v>
      </c>
      <c r="D233" t="s">
        <v>1278</v>
      </c>
      <c r="E233" t="s">
        <v>1279</v>
      </c>
      <c r="F233" t="s">
        <v>1280</v>
      </c>
      <c r="G233" t="s">
        <v>1281</v>
      </c>
      <c r="H233">
        <v>1</v>
      </c>
      <c r="I233" s="8">
        <v>2000</v>
      </c>
      <c r="J233" s="8">
        <f t="shared" si="7"/>
        <v>2000</v>
      </c>
      <c r="K233" t="s">
        <v>1282</v>
      </c>
      <c r="L233" t="s">
        <v>1283</v>
      </c>
      <c r="M233" t="s">
        <v>261</v>
      </c>
      <c r="N233" t="s">
        <v>261</v>
      </c>
      <c r="O233" t="s">
        <v>261</v>
      </c>
      <c r="P233" t="s">
        <v>261</v>
      </c>
      <c r="Q233" t="s">
        <v>261</v>
      </c>
      <c r="R233" t="s">
        <v>261</v>
      </c>
      <c r="S233" t="s">
        <v>261</v>
      </c>
      <c r="T233" t="s">
        <v>261</v>
      </c>
      <c r="U233" t="s">
        <v>261</v>
      </c>
      <c r="V233" t="s">
        <v>261</v>
      </c>
    </row>
    <row r="234" spans="1:22">
      <c r="A234">
        <f t="shared" si="8"/>
        <v>233</v>
      </c>
      <c r="B234" s="10" t="s">
        <v>1284</v>
      </c>
      <c r="C234" s="6">
        <v>44440</v>
      </c>
      <c r="D234" t="s">
        <v>1285</v>
      </c>
      <c r="E234" t="s">
        <v>1286</v>
      </c>
      <c r="F234" t="s">
        <v>1287</v>
      </c>
      <c r="G234" t="s">
        <v>18</v>
      </c>
      <c r="H234">
        <v>1</v>
      </c>
      <c r="I234" s="8">
        <v>2569.3000000000002</v>
      </c>
      <c r="J234" s="8">
        <f t="shared" si="7"/>
        <v>2569.3000000000002</v>
      </c>
      <c r="K234" t="s">
        <v>1288</v>
      </c>
      <c r="L234" t="s">
        <v>1312</v>
      </c>
      <c r="M234" t="s">
        <v>261</v>
      </c>
      <c r="N234" t="s">
        <v>261</v>
      </c>
      <c r="O234" t="s">
        <v>261</v>
      </c>
      <c r="P234" t="s">
        <v>261</v>
      </c>
      <c r="Q234" t="s">
        <v>261</v>
      </c>
      <c r="R234" t="s">
        <v>261</v>
      </c>
      <c r="S234" t="s">
        <v>261</v>
      </c>
      <c r="T234" t="s">
        <v>261</v>
      </c>
      <c r="U234" t="s">
        <v>261</v>
      </c>
      <c r="V234" t="s">
        <v>261</v>
      </c>
    </row>
    <row r="235" spans="1:22">
      <c r="A235">
        <f t="shared" si="8"/>
        <v>234</v>
      </c>
      <c r="B235" s="10" t="s">
        <v>1289</v>
      </c>
      <c r="C235" s="6">
        <v>44418</v>
      </c>
      <c r="D235" t="s">
        <v>1290</v>
      </c>
      <c r="E235" t="s">
        <v>1291</v>
      </c>
      <c r="F235" t="s">
        <v>1292</v>
      </c>
      <c r="G235" t="s">
        <v>18</v>
      </c>
      <c r="H235">
        <v>1</v>
      </c>
      <c r="I235" s="8">
        <v>1359.9</v>
      </c>
      <c r="J235" s="8">
        <f t="shared" si="7"/>
        <v>1359.9</v>
      </c>
      <c r="K235" t="s">
        <v>1293</v>
      </c>
      <c r="L235" t="s">
        <v>403</v>
      </c>
      <c r="M235" t="s">
        <v>261</v>
      </c>
      <c r="N235" t="s">
        <v>261</v>
      </c>
      <c r="O235" t="s">
        <v>261</v>
      </c>
      <c r="P235" t="s">
        <v>261</v>
      </c>
      <c r="Q235" t="s">
        <v>261</v>
      </c>
      <c r="R235" t="s">
        <v>261</v>
      </c>
      <c r="S235" t="s">
        <v>261</v>
      </c>
      <c r="T235" t="s">
        <v>261</v>
      </c>
      <c r="U235" t="s">
        <v>261</v>
      </c>
      <c r="V235" t="s">
        <v>261</v>
      </c>
    </row>
    <row r="236" spans="1:22">
      <c r="A236">
        <f t="shared" si="8"/>
        <v>235</v>
      </c>
      <c r="B236" s="10" t="s">
        <v>1294</v>
      </c>
      <c r="C236" s="6">
        <v>44431</v>
      </c>
      <c r="D236" t="s">
        <v>1295</v>
      </c>
      <c r="E236" t="s">
        <v>1296</v>
      </c>
      <c r="F236" t="s">
        <v>1297</v>
      </c>
      <c r="G236" t="s">
        <v>18</v>
      </c>
      <c r="H236">
        <v>1</v>
      </c>
      <c r="I236" s="8">
        <v>1157.83</v>
      </c>
      <c r="J236" s="8">
        <f t="shared" si="7"/>
        <v>1157.83</v>
      </c>
      <c r="K236" t="s">
        <v>1298</v>
      </c>
      <c r="L236" t="s">
        <v>1299</v>
      </c>
      <c r="M236" t="s">
        <v>261</v>
      </c>
      <c r="N236" t="s">
        <v>261</v>
      </c>
      <c r="O236" t="s">
        <v>261</v>
      </c>
      <c r="P236" t="s">
        <v>261</v>
      </c>
      <c r="Q236" t="s">
        <v>261</v>
      </c>
      <c r="R236" t="s">
        <v>261</v>
      </c>
      <c r="S236" t="s">
        <v>261</v>
      </c>
      <c r="T236" t="s">
        <v>261</v>
      </c>
      <c r="U236" t="s">
        <v>261</v>
      </c>
      <c r="V236" t="s">
        <v>261</v>
      </c>
    </row>
    <row r="237" spans="1:22">
      <c r="A237">
        <f t="shared" si="8"/>
        <v>236</v>
      </c>
      <c r="B237" s="10" t="s">
        <v>1300</v>
      </c>
      <c r="C237" s="6">
        <v>44441</v>
      </c>
      <c r="D237" t="s">
        <v>1301</v>
      </c>
      <c r="E237" t="s">
        <v>1302</v>
      </c>
      <c r="F237" t="s">
        <v>1303</v>
      </c>
      <c r="G237" t="s">
        <v>18</v>
      </c>
      <c r="H237">
        <v>1</v>
      </c>
      <c r="I237" s="8">
        <v>1945.8</v>
      </c>
      <c r="J237" s="8">
        <f t="shared" si="7"/>
        <v>1945.8</v>
      </c>
      <c r="K237" t="s">
        <v>1304</v>
      </c>
      <c r="L237" t="s">
        <v>1305</v>
      </c>
      <c r="M237" t="s">
        <v>261</v>
      </c>
      <c r="N237" t="s">
        <v>261</v>
      </c>
      <c r="O237" t="s">
        <v>261</v>
      </c>
      <c r="P237" t="s">
        <v>261</v>
      </c>
      <c r="Q237" t="s">
        <v>261</v>
      </c>
      <c r="R237" t="s">
        <v>261</v>
      </c>
      <c r="S237" t="s">
        <v>261</v>
      </c>
      <c r="T237" t="s">
        <v>261</v>
      </c>
      <c r="U237" t="s">
        <v>261</v>
      </c>
      <c r="V237" t="s">
        <v>261</v>
      </c>
    </row>
    <row r="238" spans="1:22">
      <c r="A238">
        <f t="shared" si="8"/>
        <v>237</v>
      </c>
      <c r="B238" s="10" t="s">
        <v>1306</v>
      </c>
      <c r="C238" s="6">
        <v>44417</v>
      </c>
      <c r="D238" t="s">
        <v>1307</v>
      </c>
      <c r="E238" t="s">
        <v>1308</v>
      </c>
      <c r="F238" t="s">
        <v>1309</v>
      </c>
      <c r="G238" t="s">
        <v>18</v>
      </c>
      <c r="H238">
        <v>1</v>
      </c>
      <c r="I238" s="8">
        <v>935</v>
      </c>
      <c r="J238" s="8">
        <f t="shared" si="7"/>
        <v>935</v>
      </c>
      <c r="K238" t="s">
        <v>1310</v>
      </c>
      <c r="L238" t="s">
        <v>1311</v>
      </c>
      <c r="M238" t="s">
        <v>261</v>
      </c>
      <c r="N238" t="s">
        <v>261</v>
      </c>
      <c r="O238" t="s">
        <v>261</v>
      </c>
      <c r="P238" t="s">
        <v>261</v>
      </c>
      <c r="Q238" t="s">
        <v>261</v>
      </c>
      <c r="R238" t="s">
        <v>261</v>
      </c>
      <c r="S238" t="s">
        <v>261</v>
      </c>
      <c r="T238" t="s">
        <v>261</v>
      </c>
      <c r="U238" t="s">
        <v>261</v>
      </c>
      <c r="V238" t="s">
        <v>261</v>
      </c>
    </row>
    <row r="239" spans="1:22">
      <c r="A239">
        <f t="shared" si="8"/>
        <v>238</v>
      </c>
      <c r="B239" s="101" t="s">
        <v>1313</v>
      </c>
      <c r="C239" s="6">
        <v>44445</v>
      </c>
      <c r="D239" t="s">
        <v>1314</v>
      </c>
      <c r="E239" t="s">
        <v>1315</v>
      </c>
      <c r="F239" t="s">
        <v>1316</v>
      </c>
      <c r="G239" t="s">
        <v>18</v>
      </c>
      <c r="H239">
        <v>1</v>
      </c>
      <c r="I239" s="8">
        <v>2086.1999999999998</v>
      </c>
      <c r="J239" s="8">
        <f t="shared" si="7"/>
        <v>2086.1999999999998</v>
      </c>
      <c r="K239" t="s">
        <v>1317</v>
      </c>
      <c r="L239" t="s">
        <v>1318</v>
      </c>
      <c r="M239" t="s">
        <v>261</v>
      </c>
      <c r="N239" t="s">
        <v>261</v>
      </c>
      <c r="O239" t="s">
        <v>261</v>
      </c>
      <c r="P239" t="s">
        <v>261</v>
      </c>
      <c r="Q239" t="s">
        <v>261</v>
      </c>
      <c r="R239" t="s">
        <v>261</v>
      </c>
      <c r="S239" t="s">
        <v>261</v>
      </c>
      <c r="T239" t="s">
        <v>261</v>
      </c>
      <c r="U239" t="s">
        <v>261</v>
      </c>
      <c r="V239" t="s">
        <v>261</v>
      </c>
    </row>
    <row r="240" spans="1:22">
      <c r="A240">
        <f t="shared" si="8"/>
        <v>239</v>
      </c>
      <c r="B240" s="101" t="s">
        <v>1319</v>
      </c>
      <c r="C240" s="6">
        <v>44446</v>
      </c>
      <c r="D240" t="s">
        <v>1320</v>
      </c>
      <c r="E240" t="s">
        <v>1321</v>
      </c>
      <c r="F240" t="s">
        <v>1322</v>
      </c>
      <c r="G240" t="s">
        <v>18</v>
      </c>
      <c r="H240">
        <v>1</v>
      </c>
      <c r="I240" s="8">
        <v>1076</v>
      </c>
      <c r="J240" s="8">
        <f t="shared" si="7"/>
        <v>1076</v>
      </c>
      <c r="K240" t="s">
        <v>1323</v>
      </c>
      <c r="L240" t="s">
        <v>1332</v>
      </c>
      <c r="M240" t="s">
        <v>261</v>
      </c>
      <c r="N240" t="s">
        <v>261</v>
      </c>
      <c r="O240" t="s">
        <v>261</v>
      </c>
      <c r="P240" t="s">
        <v>261</v>
      </c>
      <c r="Q240" t="s">
        <v>261</v>
      </c>
      <c r="R240" t="s">
        <v>261</v>
      </c>
      <c r="S240" t="s">
        <v>261</v>
      </c>
      <c r="T240" t="s">
        <v>261</v>
      </c>
      <c r="U240" t="s">
        <v>261</v>
      </c>
      <c r="V240" t="s">
        <v>261</v>
      </c>
    </row>
    <row r="241" spans="1:22">
      <c r="A241">
        <f t="shared" si="8"/>
        <v>240</v>
      </c>
      <c r="B241" s="10" t="s">
        <v>1327</v>
      </c>
      <c r="C241" s="6">
        <v>44446</v>
      </c>
      <c r="D241" t="s">
        <v>1328</v>
      </c>
      <c r="E241" t="s">
        <v>1329</v>
      </c>
      <c r="F241" t="s">
        <v>1330</v>
      </c>
      <c r="G241" t="s">
        <v>18</v>
      </c>
      <c r="H241">
        <v>1</v>
      </c>
      <c r="I241" s="8">
        <v>1543.3</v>
      </c>
      <c r="J241" s="8">
        <f t="shared" si="7"/>
        <v>1543.3</v>
      </c>
      <c r="K241" t="s">
        <v>1331</v>
      </c>
      <c r="L241" t="s">
        <v>1333</v>
      </c>
      <c r="M241" t="s">
        <v>261</v>
      </c>
      <c r="N241" t="s">
        <v>261</v>
      </c>
      <c r="O241" t="s">
        <v>261</v>
      </c>
      <c r="P241" t="s">
        <v>261</v>
      </c>
      <c r="Q241" t="s">
        <v>261</v>
      </c>
      <c r="R241" t="s">
        <v>261</v>
      </c>
      <c r="S241" t="s">
        <v>261</v>
      </c>
      <c r="T241" t="s">
        <v>261</v>
      </c>
      <c r="U241" t="s">
        <v>261</v>
      </c>
      <c r="V241" t="s">
        <v>261</v>
      </c>
    </row>
    <row r="242" spans="1:22">
      <c r="A242">
        <f t="shared" si="8"/>
        <v>241</v>
      </c>
      <c r="B242" s="10" t="s">
        <v>1334</v>
      </c>
      <c r="C242" s="6">
        <v>44449</v>
      </c>
      <c r="D242" t="s">
        <v>1335</v>
      </c>
      <c r="E242" t="s">
        <v>1336</v>
      </c>
      <c r="F242" t="s">
        <v>1337</v>
      </c>
      <c r="G242" t="s">
        <v>18</v>
      </c>
      <c r="H242">
        <v>1</v>
      </c>
      <c r="I242" s="8">
        <v>1493.4</v>
      </c>
      <c r="J242" s="8">
        <f t="shared" si="7"/>
        <v>1493.4</v>
      </c>
      <c r="K242" t="s">
        <v>1338</v>
      </c>
      <c r="L242" t="s">
        <v>1344</v>
      </c>
      <c r="M242" t="s">
        <v>261</v>
      </c>
      <c r="N242" t="s">
        <v>261</v>
      </c>
      <c r="O242" t="s">
        <v>261</v>
      </c>
      <c r="P242" t="s">
        <v>261</v>
      </c>
      <c r="Q242" t="s">
        <v>261</v>
      </c>
      <c r="R242" t="s">
        <v>261</v>
      </c>
      <c r="S242" t="s">
        <v>261</v>
      </c>
      <c r="T242" t="s">
        <v>261</v>
      </c>
      <c r="U242" t="s">
        <v>261</v>
      </c>
      <c r="V242" t="s">
        <v>261</v>
      </c>
    </row>
    <row r="243" spans="1:22">
      <c r="A243">
        <f t="shared" si="8"/>
        <v>242</v>
      </c>
      <c r="B243" s="10" t="s">
        <v>1339</v>
      </c>
      <c r="C243" s="6">
        <v>44452</v>
      </c>
      <c r="D243" t="s">
        <v>1340</v>
      </c>
      <c r="E243" t="s">
        <v>1341</v>
      </c>
      <c r="F243" t="s">
        <v>1342</v>
      </c>
      <c r="G243" t="s">
        <v>18</v>
      </c>
      <c r="H243">
        <v>1</v>
      </c>
      <c r="I243" s="8">
        <v>2672.1</v>
      </c>
      <c r="J243" s="8">
        <f t="shared" si="7"/>
        <v>2672.1</v>
      </c>
      <c r="K243" t="s">
        <v>1343</v>
      </c>
      <c r="L243" t="s">
        <v>403</v>
      </c>
      <c r="M243" t="s">
        <v>261</v>
      </c>
      <c r="N243" t="s">
        <v>261</v>
      </c>
      <c r="O243" t="s">
        <v>261</v>
      </c>
      <c r="P243" t="s">
        <v>261</v>
      </c>
      <c r="Q243" t="s">
        <v>261</v>
      </c>
      <c r="R243" t="s">
        <v>261</v>
      </c>
      <c r="S243" t="s">
        <v>261</v>
      </c>
      <c r="T243" t="s">
        <v>261</v>
      </c>
      <c r="U243" t="s">
        <v>261</v>
      </c>
      <c r="V243" t="s">
        <v>261</v>
      </c>
    </row>
    <row r="244" spans="1:22">
      <c r="A244">
        <f t="shared" si="8"/>
        <v>243</v>
      </c>
      <c r="B244" s="10" t="s">
        <v>1345</v>
      </c>
      <c r="C244" s="6">
        <v>44452</v>
      </c>
      <c r="D244" t="s">
        <v>1346</v>
      </c>
      <c r="E244" t="s">
        <v>1347</v>
      </c>
      <c r="F244" t="s">
        <v>1348</v>
      </c>
      <c r="G244" t="s">
        <v>18</v>
      </c>
      <c r="H244">
        <v>1</v>
      </c>
      <c r="I244" s="8">
        <v>981.8</v>
      </c>
      <c r="J244" s="8">
        <f t="shared" si="7"/>
        <v>981.8</v>
      </c>
      <c r="K244" t="s">
        <v>1349</v>
      </c>
      <c r="L244" t="s">
        <v>1355</v>
      </c>
      <c r="M244" t="s">
        <v>261</v>
      </c>
      <c r="N244" t="s">
        <v>261</v>
      </c>
      <c r="O244" t="s">
        <v>261</v>
      </c>
      <c r="P244" t="s">
        <v>261</v>
      </c>
      <c r="Q244" t="s">
        <v>261</v>
      </c>
      <c r="R244" t="s">
        <v>261</v>
      </c>
      <c r="S244" t="s">
        <v>261</v>
      </c>
      <c r="T244" t="s">
        <v>261</v>
      </c>
      <c r="U244" t="s">
        <v>261</v>
      </c>
      <c r="V244" t="s">
        <v>261</v>
      </c>
    </row>
    <row r="245" spans="1:22">
      <c r="A245">
        <f t="shared" si="8"/>
        <v>244</v>
      </c>
      <c r="B245" s="10" t="s">
        <v>1350</v>
      </c>
      <c r="C245" s="6">
        <v>44453</v>
      </c>
      <c r="D245" t="s">
        <v>1351</v>
      </c>
      <c r="E245" t="s">
        <v>1352</v>
      </c>
      <c r="F245" t="s">
        <v>1353</v>
      </c>
      <c r="G245" t="s">
        <v>18</v>
      </c>
      <c r="H245">
        <v>1</v>
      </c>
      <c r="I245" s="8">
        <v>1634</v>
      </c>
      <c r="J245" s="8">
        <f t="shared" si="7"/>
        <v>1634</v>
      </c>
      <c r="K245" t="s">
        <v>1354</v>
      </c>
      <c r="L245" t="s">
        <v>403</v>
      </c>
      <c r="M245" t="s">
        <v>261</v>
      </c>
      <c r="N245" t="s">
        <v>261</v>
      </c>
      <c r="O245" t="s">
        <v>261</v>
      </c>
      <c r="P245" t="s">
        <v>261</v>
      </c>
      <c r="Q245" t="s">
        <v>261</v>
      </c>
      <c r="R245" t="s">
        <v>261</v>
      </c>
      <c r="S245" t="s">
        <v>261</v>
      </c>
      <c r="T245" t="s">
        <v>261</v>
      </c>
      <c r="U245" t="s">
        <v>261</v>
      </c>
      <c r="V245" t="s">
        <v>261</v>
      </c>
    </row>
    <row r="246" spans="1:22">
      <c r="A246">
        <f t="shared" si="8"/>
        <v>245</v>
      </c>
      <c r="B246" s="10" t="s">
        <v>1356</v>
      </c>
      <c r="C246" s="6">
        <v>44453</v>
      </c>
      <c r="D246" t="s">
        <v>1357</v>
      </c>
      <c r="E246" t="s">
        <v>1358</v>
      </c>
      <c r="F246" t="s">
        <v>1359</v>
      </c>
      <c r="G246" t="s">
        <v>18</v>
      </c>
      <c r="H246">
        <v>1</v>
      </c>
      <c r="I246" s="8">
        <v>1918.8</v>
      </c>
      <c r="J246" s="8">
        <f t="shared" si="7"/>
        <v>1918.8</v>
      </c>
      <c r="K246" t="s">
        <v>1360</v>
      </c>
      <c r="L246" t="s">
        <v>1366</v>
      </c>
      <c r="M246" t="s">
        <v>261</v>
      </c>
      <c r="N246" t="s">
        <v>261</v>
      </c>
      <c r="O246" t="s">
        <v>261</v>
      </c>
      <c r="P246" t="s">
        <v>261</v>
      </c>
      <c r="Q246" t="s">
        <v>261</v>
      </c>
      <c r="R246" t="s">
        <v>261</v>
      </c>
      <c r="S246" t="s">
        <v>261</v>
      </c>
      <c r="T246" t="s">
        <v>261</v>
      </c>
      <c r="U246" t="s">
        <v>261</v>
      </c>
      <c r="V246" t="s">
        <v>261</v>
      </c>
    </row>
    <row r="247" spans="1:22">
      <c r="A247">
        <f t="shared" si="8"/>
        <v>246</v>
      </c>
      <c r="B247" s="10" t="s">
        <v>1361</v>
      </c>
      <c r="C247" s="6">
        <v>44454</v>
      </c>
      <c r="D247" t="s">
        <v>1362</v>
      </c>
      <c r="E247" t="s">
        <v>1363</v>
      </c>
      <c r="F247" t="s">
        <v>1364</v>
      </c>
      <c r="G247" t="s">
        <v>18</v>
      </c>
      <c r="H247">
        <v>1</v>
      </c>
      <c r="I247" s="8">
        <v>1299.5999999999999</v>
      </c>
      <c r="J247" s="8">
        <f t="shared" si="7"/>
        <v>1299.5999999999999</v>
      </c>
      <c r="K247" t="s">
        <v>1365</v>
      </c>
      <c r="L247" t="s">
        <v>1367</v>
      </c>
      <c r="M247" t="s">
        <v>261</v>
      </c>
      <c r="N247" t="s">
        <v>261</v>
      </c>
      <c r="O247" t="s">
        <v>261</v>
      </c>
      <c r="P247" t="s">
        <v>261</v>
      </c>
      <c r="Q247" t="s">
        <v>261</v>
      </c>
      <c r="R247" t="s">
        <v>261</v>
      </c>
      <c r="S247" t="s">
        <v>261</v>
      </c>
      <c r="T247" t="s">
        <v>261</v>
      </c>
      <c r="U247" t="s">
        <v>261</v>
      </c>
      <c r="V247" t="s">
        <v>261</v>
      </c>
    </row>
    <row r="248" spans="1:22">
      <c r="A248">
        <f t="shared" si="8"/>
        <v>247</v>
      </c>
      <c r="B248" s="10" t="s">
        <v>1368</v>
      </c>
      <c r="C248" s="6">
        <v>44457</v>
      </c>
      <c r="D248" t="s">
        <v>1369</v>
      </c>
      <c r="E248" t="s">
        <v>1370</v>
      </c>
      <c r="F248" t="s">
        <v>1371</v>
      </c>
      <c r="G248" t="s">
        <v>18</v>
      </c>
      <c r="H248">
        <v>1</v>
      </c>
      <c r="I248" s="8">
        <v>2790.79</v>
      </c>
      <c r="J248" s="8">
        <f t="shared" si="7"/>
        <v>2790.79</v>
      </c>
      <c r="K248" t="s">
        <v>1372</v>
      </c>
      <c r="L248" t="s">
        <v>403</v>
      </c>
      <c r="M248" t="s">
        <v>261</v>
      </c>
      <c r="N248" t="s">
        <v>261</v>
      </c>
      <c r="O248" t="s">
        <v>261</v>
      </c>
      <c r="P248" t="s">
        <v>261</v>
      </c>
      <c r="Q248" t="s">
        <v>261</v>
      </c>
      <c r="R248" t="s">
        <v>261</v>
      </c>
      <c r="S248" t="s">
        <v>261</v>
      </c>
      <c r="T248" t="s">
        <v>261</v>
      </c>
      <c r="U248" t="s">
        <v>261</v>
      </c>
      <c r="V248" t="s">
        <v>261</v>
      </c>
    </row>
    <row r="249" spans="1:22">
      <c r="A249">
        <f t="shared" si="8"/>
        <v>248</v>
      </c>
      <c r="B249" s="101" t="s">
        <v>1373</v>
      </c>
      <c r="C249" s="6">
        <v>44442</v>
      </c>
      <c r="D249" t="s">
        <v>1374</v>
      </c>
      <c r="E249" t="s">
        <v>1375</v>
      </c>
      <c r="F249" t="s">
        <v>1376</v>
      </c>
      <c r="G249" t="s">
        <v>18</v>
      </c>
      <c r="H249">
        <v>1</v>
      </c>
      <c r="I249" s="8">
        <v>2943.54</v>
      </c>
      <c r="J249" s="8">
        <f t="shared" si="7"/>
        <v>2943.54</v>
      </c>
      <c r="K249" t="s">
        <v>1377</v>
      </c>
      <c r="L249" t="s">
        <v>681</v>
      </c>
      <c r="M249" t="s">
        <v>261</v>
      </c>
      <c r="N249" t="s">
        <v>261</v>
      </c>
      <c r="O249" t="s">
        <v>261</v>
      </c>
      <c r="P249" t="s">
        <v>261</v>
      </c>
      <c r="Q249" t="s">
        <v>261</v>
      </c>
      <c r="R249" t="s">
        <v>261</v>
      </c>
      <c r="S249" t="s">
        <v>261</v>
      </c>
      <c r="T249" t="s">
        <v>261</v>
      </c>
      <c r="U249" t="s">
        <v>261</v>
      </c>
      <c r="V249" t="s">
        <v>261</v>
      </c>
    </row>
    <row r="250" spans="1:22">
      <c r="A250" s="21">
        <f t="shared" si="8"/>
        <v>249</v>
      </c>
      <c r="B250" s="10" t="s">
        <v>1378</v>
      </c>
      <c r="C250" s="6">
        <v>44459</v>
      </c>
      <c r="D250" t="s">
        <v>1379</v>
      </c>
      <c r="E250" t="s">
        <v>1380</v>
      </c>
      <c r="F250" t="s">
        <v>1381</v>
      </c>
      <c r="G250" t="s">
        <v>18</v>
      </c>
      <c r="H250">
        <v>1</v>
      </c>
      <c r="I250" s="8">
        <v>745</v>
      </c>
      <c r="J250" s="8">
        <f t="shared" si="7"/>
        <v>745</v>
      </c>
      <c r="K250" t="s">
        <v>1382</v>
      </c>
      <c r="L250" t="s">
        <v>1383</v>
      </c>
      <c r="M250" t="s">
        <v>261</v>
      </c>
      <c r="N250" t="s">
        <v>261</v>
      </c>
      <c r="O250" t="s">
        <v>261</v>
      </c>
      <c r="P250" t="s">
        <v>261</v>
      </c>
      <c r="Q250" t="s">
        <v>261</v>
      </c>
      <c r="R250" t="s">
        <v>261</v>
      </c>
      <c r="S250" t="s">
        <v>261</v>
      </c>
      <c r="T250" t="s">
        <v>261</v>
      </c>
      <c r="U250" t="s">
        <v>261</v>
      </c>
      <c r="V250" t="s">
        <v>261</v>
      </c>
    </row>
    <row r="251" spans="1:22">
      <c r="A251" s="41">
        <f t="shared" si="8"/>
        <v>250</v>
      </c>
      <c r="B251" s="10" t="s">
        <v>1387</v>
      </c>
      <c r="C251" s="6">
        <v>44460</v>
      </c>
      <c r="D251" t="s">
        <v>1388</v>
      </c>
      <c r="E251" t="s">
        <v>1389</v>
      </c>
      <c r="F251" t="s">
        <v>1390</v>
      </c>
      <c r="G251" t="s">
        <v>18</v>
      </c>
      <c r="H251">
        <v>1</v>
      </c>
      <c r="I251" s="8">
        <v>901</v>
      </c>
      <c r="J251" s="8">
        <f t="shared" si="7"/>
        <v>901</v>
      </c>
      <c r="K251" t="s">
        <v>587</v>
      </c>
      <c r="L251" t="s">
        <v>1401</v>
      </c>
      <c r="M251" t="s">
        <v>261</v>
      </c>
      <c r="N251" t="s">
        <v>261</v>
      </c>
      <c r="O251" t="s">
        <v>261</v>
      </c>
      <c r="P251" t="s">
        <v>261</v>
      </c>
      <c r="Q251" t="s">
        <v>261</v>
      </c>
      <c r="R251" t="s">
        <v>261</v>
      </c>
      <c r="S251" t="s">
        <v>261</v>
      </c>
      <c r="T251" t="s">
        <v>261</v>
      </c>
      <c r="U251" t="s">
        <v>261</v>
      </c>
      <c r="V251" t="s">
        <v>261</v>
      </c>
    </row>
    <row r="252" spans="1:22">
      <c r="A252">
        <f t="shared" si="8"/>
        <v>251</v>
      </c>
      <c r="B252" s="10" t="s">
        <v>1391</v>
      </c>
      <c r="C252" s="6">
        <v>44461</v>
      </c>
      <c r="D252" t="s">
        <v>1392</v>
      </c>
      <c r="E252" t="s">
        <v>1393</v>
      </c>
      <c r="F252" t="s">
        <v>1394</v>
      </c>
      <c r="G252" t="s">
        <v>18</v>
      </c>
      <c r="H252">
        <v>1</v>
      </c>
      <c r="I252" s="8">
        <v>1699.35</v>
      </c>
      <c r="J252" s="8">
        <f t="shared" si="7"/>
        <v>1699.35</v>
      </c>
      <c r="K252" t="s">
        <v>1395</v>
      </c>
      <c r="L252" t="s">
        <v>537</v>
      </c>
      <c r="M252" t="s">
        <v>261</v>
      </c>
      <c r="N252" t="s">
        <v>261</v>
      </c>
      <c r="O252" t="s">
        <v>261</v>
      </c>
      <c r="P252" t="s">
        <v>261</v>
      </c>
      <c r="Q252" t="s">
        <v>261</v>
      </c>
      <c r="R252" t="s">
        <v>261</v>
      </c>
      <c r="S252" t="s">
        <v>261</v>
      </c>
      <c r="T252" t="s">
        <v>261</v>
      </c>
      <c r="U252" t="s">
        <v>261</v>
      </c>
      <c r="V252" t="s">
        <v>261</v>
      </c>
    </row>
    <row r="253" spans="1:22">
      <c r="A253">
        <f t="shared" si="8"/>
        <v>252</v>
      </c>
      <c r="B253" s="10" t="s">
        <v>1650</v>
      </c>
      <c r="C253" s="6">
        <v>44461</v>
      </c>
      <c r="D253" t="s">
        <v>1651</v>
      </c>
      <c r="E253" t="s">
        <v>1652</v>
      </c>
      <c r="F253" t="s">
        <v>1653</v>
      </c>
      <c r="G253" t="s">
        <v>18</v>
      </c>
      <c r="H253">
        <v>1</v>
      </c>
      <c r="I253" s="8">
        <v>512.5</v>
      </c>
      <c r="J253" s="8">
        <f t="shared" si="7"/>
        <v>512.5</v>
      </c>
      <c r="K253" t="s">
        <v>35</v>
      </c>
      <c r="L253" t="s">
        <v>268</v>
      </c>
      <c r="M253" t="s">
        <v>261</v>
      </c>
      <c r="N253" t="s">
        <v>261</v>
      </c>
      <c r="O253" t="s">
        <v>261</v>
      </c>
      <c r="P253" t="s">
        <v>261</v>
      </c>
      <c r="Q253" t="s">
        <v>261</v>
      </c>
      <c r="R253" t="s">
        <v>261</v>
      </c>
      <c r="S253" t="s">
        <v>261</v>
      </c>
      <c r="T253" t="s">
        <v>261</v>
      </c>
      <c r="U253" t="s">
        <v>261</v>
      </c>
      <c r="V253" t="s">
        <v>261</v>
      </c>
    </row>
    <row r="254" spans="1:22">
      <c r="A254">
        <f t="shared" si="8"/>
        <v>253</v>
      </c>
      <c r="B254" s="10" t="s">
        <v>1396</v>
      </c>
      <c r="C254" s="6">
        <v>44456</v>
      </c>
      <c r="D254" t="s">
        <v>1397</v>
      </c>
      <c r="E254" t="s">
        <v>1398</v>
      </c>
      <c r="F254" t="s">
        <v>1399</v>
      </c>
      <c r="G254" t="s">
        <v>18</v>
      </c>
      <c r="H254">
        <v>1</v>
      </c>
      <c r="I254" s="8">
        <v>1533.6</v>
      </c>
      <c r="J254" s="8">
        <f t="shared" si="7"/>
        <v>1533.6</v>
      </c>
      <c r="K254" t="s">
        <v>1400</v>
      </c>
      <c r="L254" t="s">
        <v>94</v>
      </c>
      <c r="M254" t="s">
        <v>261</v>
      </c>
      <c r="N254" t="s">
        <v>261</v>
      </c>
      <c r="O254" t="s">
        <v>261</v>
      </c>
      <c r="P254" t="s">
        <v>261</v>
      </c>
      <c r="Q254" t="s">
        <v>261</v>
      </c>
      <c r="R254" t="s">
        <v>261</v>
      </c>
      <c r="S254" t="s">
        <v>261</v>
      </c>
      <c r="T254" t="s">
        <v>261</v>
      </c>
      <c r="U254" t="s">
        <v>261</v>
      </c>
      <c r="V254" t="s">
        <v>261</v>
      </c>
    </row>
    <row r="255" spans="1:22">
      <c r="A255" s="23">
        <f t="shared" si="8"/>
        <v>254</v>
      </c>
      <c r="B255" s="10" t="s">
        <v>1675</v>
      </c>
      <c r="C255" s="6">
        <v>44462</v>
      </c>
      <c r="D255" t="s">
        <v>1402</v>
      </c>
      <c r="E255" t="s">
        <v>1403</v>
      </c>
      <c r="F255" t="s">
        <v>1404</v>
      </c>
      <c r="G255" t="s">
        <v>18</v>
      </c>
      <c r="H255">
        <v>2</v>
      </c>
      <c r="I255" s="8">
        <v>4424</v>
      </c>
      <c r="J255" s="8">
        <f t="shared" si="7"/>
        <v>2212</v>
      </c>
      <c r="K255" t="s">
        <v>1676</v>
      </c>
      <c r="L255" t="s">
        <v>1677</v>
      </c>
      <c r="M255" t="s">
        <v>261</v>
      </c>
      <c r="N255" t="s">
        <v>261</v>
      </c>
      <c r="O255" t="s">
        <v>261</v>
      </c>
      <c r="P255" t="s">
        <v>261</v>
      </c>
      <c r="Q255" t="s">
        <v>261</v>
      </c>
      <c r="R255" t="s">
        <v>261</v>
      </c>
      <c r="S255" t="s">
        <v>261</v>
      </c>
      <c r="T255" t="s">
        <v>261</v>
      </c>
      <c r="U255" t="s">
        <v>261</v>
      </c>
      <c r="V255" t="s">
        <v>261</v>
      </c>
    </row>
    <row r="256" spans="1:22">
      <c r="A256">
        <f t="shared" si="8"/>
        <v>255</v>
      </c>
      <c r="B256" s="10" t="s">
        <v>1406</v>
      </c>
      <c r="C256" s="6">
        <v>44446</v>
      </c>
      <c r="D256" t="s">
        <v>1407</v>
      </c>
      <c r="E256" t="s">
        <v>1408</v>
      </c>
      <c r="F256" t="s">
        <v>1409</v>
      </c>
      <c r="G256" t="s">
        <v>18</v>
      </c>
      <c r="H256">
        <v>1</v>
      </c>
      <c r="I256" s="8">
        <v>806.76</v>
      </c>
      <c r="J256" s="8">
        <f t="shared" si="7"/>
        <v>806.76</v>
      </c>
      <c r="K256" t="s">
        <v>1410</v>
      </c>
      <c r="L256" t="s">
        <v>1424</v>
      </c>
      <c r="M256" t="s">
        <v>261</v>
      </c>
      <c r="N256" t="s">
        <v>261</v>
      </c>
      <c r="O256" t="s">
        <v>261</v>
      </c>
      <c r="P256" t="s">
        <v>261</v>
      </c>
      <c r="Q256" t="s">
        <v>261</v>
      </c>
      <c r="R256" t="s">
        <v>261</v>
      </c>
      <c r="S256" t="s">
        <v>261</v>
      </c>
      <c r="T256" t="s">
        <v>261</v>
      </c>
      <c r="U256" t="s">
        <v>261</v>
      </c>
      <c r="V256" t="s">
        <v>261</v>
      </c>
    </row>
    <row r="257" spans="1:22">
      <c r="A257" s="12">
        <f t="shared" si="8"/>
        <v>256</v>
      </c>
      <c r="B257" s="10" t="s">
        <v>1473</v>
      </c>
      <c r="C257" s="6">
        <v>44449</v>
      </c>
      <c r="D257" t="s">
        <v>1411</v>
      </c>
      <c r="E257" t="s">
        <v>1412</v>
      </c>
      <c r="F257" t="s">
        <v>1413</v>
      </c>
      <c r="G257" t="s">
        <v>18</v>
      </c>
      <c r="H257">
        <v>2</v>
      </c>
      <c r="I257" s="8">
        <v>2857.6</v>
      </c>
      <c r="J257" s="8">
        <f t="shared" si="7"/>
        <v>1428.8</v>
      </c>
      <c r="K257" t="s">
        <v>1474</v>
      </c>
      <c r="L257" t="s">
        <v>1415</v>
      </c>
      <c r="M257" t="s">
        <v>261</v>
      </c>
      <c r="N257" t="s">
        <v>261</v>
      </c>
      <c r="O257" t="s">
        <v>261</v>
      </c>
      <c r="P257" t="s">
        <v>261</v>
      </c>
      <c r="Q257" t="s">
        <v>261</v>
      </c>
      <c r="R257" t="s">
        <v>261</v>
      </c>
      <c r="S257" t="s">
        <v>261</v>
      </c>
      <c r="T257" t="s">
        <v>261</v>
      </c>
      <c r="U257" t="s">
        <v>261</v>
      </c>
      <c r="V257" t="s">
        <v>261</v>
      </c>
    </row>
    <row r="258" spans="1:22">
      <c r="A258" s="41">
        <f t="shared" si="8"/>
        <v>257</v>
      </c>
      <c r="B258" s="10" t="s">
        <v>1416</v>
      </c>
      <c r="C258" s="6">
        <v>44464</v>
      </c>
      <c r="D258" t="s">
        <v>1417</v>
      </c>
      <c r="E258" t="s">
        <v>1418</v>
      </c>
      <c r="F258" t="s">
        <v>1419</v>
      </c>
      <c r="G258" t="s">
        <v>18</v>
      </c>
      <c r="H258">
        <v>1</v>
      </c>
      <c r="I258" s="8">
        <v>1386.05</v>
      </c>
      <c r="J258" s="8">
        <f t="shared" ref="J258:J267" si="9">+I258/H258</f>
        <v>1386.05</v>
      </c>
      <c r="K258" t="s">
        <v>1420</v>
      </c>
      <c r="L258" t="s">
        <v>792</v>
      </c>
      <c r="M258" t="s">
        <v>261</v>
      </c>
      <c r="N258" t="s">
        <v>261</v>
      </c>
      <c r="O258" t="s">
        <v>261</v>
      </c>
      <c r="P258" t="s">
        <v>261</v>
      </c>
      <c r="Q258" t="s">
        <v>261</v>
      </c>
      <c r="R258" t="s">
        <v>261</v>
      </c>
      <c r="S258" t="s">
        <v>261</v>
      </c>
      <c r="T258" t="s">
        <v>261</v>
      </c>
      <c r="U258" t="s">
        <v>261</v>
      </c>
      <c r="V258" t="s">
        <v>261</v>
      </c>
    </row>
    <row r="259" spans="1:22">
      <c r="A259">
        <f t="shared" si="8"/>
        <v>258</v>
      </c>
      <c r="B259" s="10" t="s">
        <v>1421</v>
      </c>
      <c r="C259" s="6">
        <v>44466</v>
      </c>
      <c r="D259" t="s">
        <v>538</v>
      </c>
      <c r="E259" t="s">
        <v>539</v>
      </c>
      <c r="F259" t="s">
        <v>1422</v>
      </c>
      <c r="G259" t="s">
        <v>18</v>
      </c>
      <c r="H259">
        <v>1</v>
      </c>
      <c r="I259" s="8">
        <v>860</v>
      </c>
      <c r="J259" s="8">
        <f t="shared" si="9"/>
        <v>860</v>
      </c>
      <c r="K259" t="s">
        <v>732</v>
      </c>
      <c r="L259" t="s">
        <v>1423</v>
      </c>
      <c r="M259" t="s">
        <v>261</v>
      </c>
      <c r="N259" t="s">
        <v>261</v>
      </c>
      <c r="O259" t="s">
        <v>261</v>
      </c>
      <c r="P259" t="s">
        <v>261</v>
      </c>
      <c r="Q259" t="s">
        <v>261</v>
      </c>
      <c r="R259" t="s">
        <v>261</v>
      </c>
      <c r="S259" t="s">
        <v>261</v>
      </c>
      <c r="T259" t="s">
        <v>261</v>
      </c>
      <c r="U259" t="s">
        <v>261</v>
      </c>
      <c r="V259" t="s">
        <v>261</v>
      </c>
    </row>
    <row r="260" spans="1:22">
      <c r="A260">
        <f t="shared" si="8"/>
        <v>259</v>
      </c>
      <c r="B260" s="10" t="s">
        <v>1425</v>
      </c>
      <c r="C260" s="6">
        <v>44466</v>
      </c>
      <c r="D260" t="s">
        <v>1426</v>
      </c>
      <c r="E260" t="s">
        <v>1427</v>
      </c>
      <c r="F260" t="s">
        <v>1428</v>
      </c>
      <c r="G260" t="s">
        <v>18</v>
      </c>
      <c r="H260">
        <v>1</v>
      </c>
      <c r="I260" s="8">
        <v>999</v>
      </c>
      <c r="J260" s="8">
        <f t="shared" si="9"/>
        <v>999</v>
      </c>
      <c r="K260" t="s">
        <v>1429</v>
      </c>
      <c r="L260" t="s">
        <v>1444</v>
      </c>
      <c r="M260" t="s">
        <v>261</v>
      </c>
      <c r="N260" t="s">
        <v>261</v>
      </c>
      <c r="O260" t="s">
        <v>261</v>
      </c>
      <c r="P260" t="s">
        <v>261</v>
      </c>
      <c r="Q260" t="s">
        <v>261</v>
      </c>
      <c r="R260" t="s">
        <v>261</v>
      </c>
      <c r="S260" t="s">
        <v>261</v>
      </c>
      <c r="T260" t="s">
        <v>261</v>
      </c>
      <c r="U260" t="s">
        <v>261</v>
      </c>
      <c r="V260" t="s">
        <v>261</v>
      </c>
    </row>
    <row r="261" spans="1:22">
      <c r="A261">
        <f t="shared" ref="A261:A324" si="10">+A260+1</f>
        <v>260</v>
      </c>
      <c r="B261" s="10" t="s">
        <v>1430</v>
      </c>
      <c r="C261" s="6">
        <v>44460</v>
      </c>
      <c r="D261" t="s">
        <v>1431</v>
      </c>
      <c r="E261" t="s">
        <v>1432</v>
      </c>
      <c r="F261" t="s">
        <v>1433</v>
      </c>
      <c r="G261" t="s">
        <v>18</v>
      </c>
      <c r="H261">
        <v>1</v>
      </c>
      <c r="I261" s="8">
        <v>982.5</v>
      </c>
      <c r="J261" s="8">
        <f t="shared" si="9"/>
        <v>982.5</v>
      </c>
      <c r="K261" t="s">
        <v>1434</v>
      </c>
      <c r="L261" t="s">
        <v>1443</v>
      </c>
      <c r="M261" t="s">
        <v>261</v>
      </c>
      <c r="N261" t="s">
        <v>261</v>
      </c>
      <c r="O261" t="s">
        <v>261</v>
      </c>
      <c r="P261" t="s">
        <v>261</v>
      </c>
      <c r="Q261" t="s">
        <v>261</v>
      </c>
      <c r="R261" t="s">
        <v>261</v>
      </c>
      <c r="S261" t="s">
        <v>261</v>
      </c>
      <c r="T261" t="s">
        <v>261</v>
      </c>
      <c r="U261" t="s">
        <v>261</v>
      </c>
      <c r="V261" t="s">
        <v>261</v>
      </c>
    </row>
    <row r="262" spans="1:22">
      <c r="A262">
        <f t="shared" si="10"/>
        <v>261</v>
      </c>
      <c r="B262" s="101" t="s">
        <v>1435</v>
      </c>
      <c r="C262" s="6">
        <v>44467</v>
      </c>
      <c r="D262" t="s">
        <v>1436</v>
      </c>
      <c r="E262" t="s">
        <v>1437</v>
      </c>
      <c r="F262" t="s">
        <v>1438</v>
      </c>
      <c r="G262" t="s">
        <v>18</v>
      </c>
      <c r="H262">
        <v>1</v>
      </c>
      <c r="I262" s="8">
        <v>1032</v>
      </c>
      <c r="J262" s="8">
        <f t="shared" si="9"/>
        <v>1032</v>
      </c>
      <c r="K262" t="s">
        <v>662</v>
      </c>
      <c r="L262" t="s">
        <v>681</v>
      </c>
      <c r="M262" t="s">
        <v>261</v>
      </c>
      <c r="N262" t="s">
        <v>261</v>
      </c>
      <c r="O262" t="s">
        <v>261</v>
      </c>
      <c r="P262" t="s">
        <v>261</v>
      </c>
      <c r="Q262" t="s">
        <v>261</v>
      </c>
      <c r="R262" t="s">
        <v>261</v>
      </c>
      <c r="S262" t="s">
        <v>261</v>
      </c>
      <c r="T262" t="s">
        <v>261</v>
      </c>
      <c r="U262" t="s">
        <v>261</v>
      </c>
      <c r="V262" t="s">
        <v>261</v>
      </c>
    </row>
    <row r="263" spans="1:22">
      <c r="A263">
        <f t="shared" si="10"/>
        <v>262</v>
      </c>
      <c r="B263" s="10" t="s">
        <v>1439</v>
      </c>
      <c r="C263" s="6">
        <v>44467</v>
      </c>
      <c r="D263" t="s">
        <v>1440</v>
      </c>
      <c r="E263" t="s">
        <v>1441</v>
      </c>
      <c r="F263" t="s">
        <v>1442</v>
      </c>
      <c r="G263" t="s">
        <v>18</v>
      </c>
      <c r="H263">
        <v>1</v>
      </c>
      <c r="I263" s="8">
        <v>1228.5</v>
      </c>
      <c r="J263" s="8">
        <f t="shared" si="9"/>
        <v>1228.5</v>
      </c>
      <c r="K263" t="s">
        <v>1080</v>
      </c>
      <c r="L263" t="s">
        <v>959</v>
      </c>
      <c r="M263" t="s">
        <v>261</v>
      </c>
      <c r="N263" t="s">
        <v>261</v>
      </c>
      <c r="O263" t="s">
        <v>261</v>
      </c>
      <c r="P263" t="s">
        <v>261</v>
      </c>
      <c r="Q263" t="s">
        <v>261</v>
      </c>
      <c r="R263" t="s">
        <v>261</v>
      </c>
      <c r="S263" t="s">
        <v>261</v>
      </c>
      <c r="T263" t="s">
        <v>261</v>
      </c>
      <c r="U263" t="s">
        <v>261</v>
      </c>
      <c r="V263" t="s">
        <v>261</v>
      </c>
    </row>
    <row r="264" spans="1:22">
      <c r="A264">
        <f t="shared" si="10"/>
        <v>263</v>
      </c>
      <c r="B264" s="10" t="s">
        <v>1445</v>
      </c>
      <c r="C264" s="6">
        <v>44468</v>
      </c>
      <c r="D264" t="s">
        <v>1446</v>
      </c>
      <c r="E264" t="s">
        <v>1447</v>
      </c>
      <c r="F264" t="s">
        <v>1448</v>
      </c>
      <c r="G264" t="s">
        <v>63</v>
      </c>
      <c r="H264">
        <v>1</v>
      </c>
      <c r="I264" s="8">
        <v>1046</v>
      </c>
      <c r="J264" s="8">
        <f t="shared" si="9"/>
        <v>1046</v>
      </c>
      <c r="K264" t="s">
        <v>1449</v>
      </c>
      <c r="L264" t="s">
        <v>792</v>
      </c>
      <c r="M264" t="s">
        <v>261</v>
      </c>
      <c r="N264" t="s">
        <v>261</v>
      </c>
      <c r="O264" t="s">
        <v>261</v>
      </c>
      <c r="P264" t="s">
        <v>261</v>
      </c>
      <c r="Q264" t="s">
        <v>261</v>
      </c>
      <c r="R264" t="s">
        <v>261</v>
      </c>
      <c r="S264" t="s">
        <v>261</v>
      </c>
      <c r="T264" t="s">
        <v>261</v>
      </c>
      <c r="U264" t="s">
        <v>261</v>
      </c>
      <c r="V264" t="s">
        <v>261</v>
      </c>
    </row>
    <row r="265" spans="1:22">
      <c r="A265">
        <f t="shared" si="10"/>
        <v>264</v>
      </c>
      <c r="B265" s="101" t="s">
        <v>1450</v>
      </c>
      <c r="C265" s="6">
        <v>44468</v>
      </c>
      <c r="D265" t="s">
        <v>1451</v>
      </c>
      <c r="E265" t="s">
        <v>1452</v>
      </c>
      <c r="F265" t="s">
        <v>1453</v>
      </c>
      <c r="G265" t="s">
        <v>18</v>
      </c>
      <c r="H265">
        <v>1</v>
      </c>
      <c r="I265" s="8">
        <v>860</v>
      </c>
      <c r="J265" s="8">
        <f t="shared" si="9"/>
        <v>860</v>
      </c>
      <c r="K265" t="s">
        <v>732</v>
      </c>
      <c r="L265" t="s">
        <v>1454</v>
      </c>
      <c r="M265" t="s">
        <v>261</v>
      </c>
      <c r="N265" t="s">
        <v>261</v>
      </c>
      <c r="O265" t="s">
        <v>261</v>
      </c>
      <c r="P265" t="s">
        <v>261</v>
      </c>
      <c r="Q265" t="s">
        <v>261</v>
      </c>
      <c r="R265" t="s">
        <v>261</v>
      </c>
      <c r="S265" t="s">
        <v>261</v>
      </c>
      <c r="T265" t="s">
        <v>261</v>
      </c>
      <c r="U265" t="s">
        <v>261</v>
      </c>
      <c r="V265" t="s">
        <v>261</v>
      </c>
    </row>
    <row r="266" spans="1:22">
      <c r="A266" s="21">
        <f t="shared" si="10"/>
        <v>265</v>
      </c>
      <c r="B266" s="10" t="s">
        <v>1487</v>
      </c>
      <c r="C266" s="6">
        <v>44358</v>
      </c>
      <c r="D266" t="s">
        <v>648</v>
      </c>
      <c r="E266" t="s">
        <v>649</v>
      </c>
      <c r="F266" t="s">
        <v>650</v>
      </c>
      <c r="G266" t="s">
        <v>18</v>
      </c>
      <c r="H266">
        <v>1</v>
      </c>
      <c r="I266" s="8">
        <v>576</v>
      </c>
      <c r="J266" s="8">
        <f t="shared" si="9"/>
        <v>576</v>
      </c>
      <c r="K266" t="s">
        <v>651</v>
      </c>
      <c r="L266" t="s">
        <v>652</v>
      </c>
      <c r="M266" t="s">
        <v>261</v>
      </c>
      <c r="N266" t="s">
        <v>261</v>
      </c>
      <c r="O266" t="s">
        <v>261</v>
      </c>
      <c r="P266" t="s">
        <v>261</v>
      </c>
      <c r="Q266" t="s">
        <v>261</v>
      </c>
      <c r="R266" t="s">
        <v>261</v>
      </c>
      <c r="S266" t="s">
        <v>261</v>
      </c>
      <c r="T266" t="s">
        <v>261</v>
      </c>
      <c r="U266" t="s">
        <v>261</v>
      </c>
      <c r="V266" t="s">
        <v>261</v>
      </c>
    </row>
    <row r="267" spans="1:22">
      <c r="A267" s="41">
        <f t="shared" si="10"/>
        <v>266</v>
      </c>
      <c r="B267" s="10" t="s">
        <v>1555</v>
      </c>
      <c r="C267" s="6">
        <v>44464</v>
      </c>
      <c r="D267" t="s">
        <v>1560</v>
      </c>
      <c r="E267" t="s">
        <v>1561</v>
      </c>
      <c r="F267" t="s">
        <v>1562</v>
      </c>
      <c r="G267" t="s">
        <v>1557</v>
      </c>
      <c r="H267">
        <v>1</v>
      </c>
      <c r="I267" s="8">
        <v>550</v>
      </c>
      <c r="J267" s="8">
        <f t="shared" si="9"/>
        <v>550</v>
      </c>
      <c r="K267" t="s">
        <v>1563</v>
      </c>
      <c r="L267" t="s">
        <v>403</v>
      </c>
      <c r="M267" t="s">
        <v>261</v>
      </c>
      <c r="N267" t="s">
        <v>261</v>
      </c>
      <c r="O267" t="s">
        <v>261</v>
      </c>
      <c r="P267" t="s">
        <v>261</v>
      </c>
      <c r="Q267" t="s">
        <v>261</v>
      </c>
      <c r="R267" t="s">
        <v>261</v>
      </c>
      <c r="S267" t="s">
        <v>261</v>
      </c>
      <c r="T267" t="s">
        <v>261</v>
      </c>
      <c r="U267" t="s">
        <v>261</v>
      </c>
      <c r="V267" t="s">
        <v>261</v>
      </c>
    </row>
    <row r="268" spans="1:22">
      <c r="A268">
        <f t="shared" si="10"/>
        <v>267</v>
      </c>
      <c r="B268" s="101" t="s">
        <v>1564</v>
      </c>
      <c r="C268" s="6">
        <v>44471</v>
      </c>
      <c r="D268" t="s">
        <v>1565</v>
      </c>
      <c r="E268" t="s">
        <v>1566</v>
      </c>
      <c r="F268" t="s">
        <v>1567</v>
      </c>
      <c r="G268" t="s">
        <v>18</v>
      </c>
      <c r="H268">
        <v>1</v>
      </c>
      <c r="I268" s="8">
        <v>860</v>
      </c>
      <c r="J268" s="8">
        <f t="shared" ref="J268:J322" si="11">+I268/H268</f>
        <v>860</v>
      </c>
      <c r="K268" t="s">
        <v>732</v>
      </c>
      <c r="L268" t="s">
        <v>681</v>
      </c>
      <c r="M268" t="s">
        <v>261</v>
      </c>
      <c r="N268" t="s">
        <v>261</v>
      </c>
      <c r="O268" t="s">
        <v>261</v>
      </c>
      <c r="P268" t="s">
        <v>261</v>
      </c>
      <c r="Q268" t="s">
        <v>261</v>
      </c>
      <c r="R268" t="s">
        <v>261</v>
      </c>
      <c r="S268" t="s">
        <v>261</v>
      </c>
      <c r="T268" t="s">
        <v>261</v>
      </c>
      <c r="U268" t="s">
        <v>261</v>
      </c>
      <c r="V268" t="s">
        <v>261</v>
      </c>
    </row>
    <row r="269" spans="1:22">
      <c r="A269">
        <f t="shared" si="10"/>
        <v>268</v>
      </c>
      <c r="B269" s="10" t="s">
        <v>1575</v>
      </c>
      <c r="C269" s="6">
        <v>44461</v>
      </c>
      <c r="D269" t="s">
        <v>1576</v>
      </c>
      <c r="E269" t="s">
        <v>1577</v>
      </c>
      <c r="F269" t="s">
        <v>1578</v>
      </c>
      <c r="G269" t="s">
        <v>18</v>
      </c>
      <c r="H269">
        <v>1</v>
      </c>
      <c r="I269" s="8">
        <v>1220</v>
      </c>
      <c r="J269" s="8">
        <f t="shared" si="11"/>
        <v>1220</v>
      </c>
      <c r="K269" t="s">
        <v>1579</v>
      </c>
      <c r="L269" t="s">
        <v>403</v>
      </c>
      <c r="M269" t="s">
        <v>261</v>
      </c>
      <c r="N269" t="s">
        <v>261</v>
      </c>
      <c r="O269" t="s">
        <v>261</v>
      </c>
      <c r="P269" t="s">
        <v>261</v>
      </c>
      <c r="Q269" t="s">
        <v>261</v>
      </c>
      <c r="R269" t="s">
        <v>261</v>
      </c>
      <c r="S269" t="s">
        <v>261</v>
      </c>
      <c r="T269" t="s">
        <v>261</v>
      </c>
      <c r="U269" t="s">
        <v>261</v>
      </c>
      <c r="V269" t="s">
        <v>261</v>
      </c>
    </row>
    <row r="270" spans="1:22">
      <c r="A270">
        <f t="shared" si="10"/>
        <v>269</v>
      </c>
      <c r="B270" s="10" t="s">
        <v>1581</v>
      </c>
      <c r="C270" s="6">
        <v>44466</v>
      </c>
      <c r="D270" t="s">
        <v>1582</v>
      </c>
      <c r="E270" t="s">
        <v>1583</v>
      </c>
      <c r="F270" t="s">
        <v>1584</v>
      </c>
      <c r="G270" t="s">
        <v>18</v>
      </c>
      <c r="H270">
        <v>1</v>
      </c>
      <c r="I270" s="8">
        <v>1559.25</v>
      </c>
      <c r="J270" s="8">
        <f t="shared" si="11"/>
        <v>1559.25</v>
      </c>
      <c r="K270" t="s">
        <v>1585</v>
      </c>
      <c r="L270" t="s">
        <v>403</v>
      </c>
      <c r="M270" t="s">
        <v>261</v>
      </c>
      <c r="N270" t="s">
        <v>261</v>
      </c>
      <c r="O270" t="s">
        <v>261</v>
      </c>
      <c r="P270" t="s">
        <v>261</v>
      </c>
      <c r="Q270" t="s">
        <v>261</v>
      </c>
      <c r="R270" t="s">
        <v>261</v>
      </c>
      <c r="S270" t="s">
        <v>261</v>
      </c>
      <c r="T270" t="s">
        <v>261</v>
      </c>
      <c r="U270" t="s">
        <v>261</v>
      </c>
      <c r="V270" t="s">
        <v>261</v>
      </c>
    </row>
    <row r="271" spans="1:22">
      <c r="A271">
        <f t="shared" si="10"/>
        <v>270</v>
      </c>
      <c r="B271" s="10" t="s">
        <v>1586</v>
      </c>
      <c r="C271" s="6">
        <v>44474</v>
      </c>
      <c r="D271" t="s">
        <v>1587</v>
      </c>
      <c r="E271" t="s">
        <v>1588</v>
      </c>
      <c r="F271" t="s">
        <v>1589</v>
      </c>
      <c r="G271" t="s">
        <v>18</v>
      </c>
      <c r="H271">
        <v>1</v>
      </c>
      <c r="I271" s="8">
        <v>2523.6</v>
      </c>
      <c r="J271" s="8">
        <f t="shared" si="11"/>
        <v>2523.6</v>
      </c>
      <c r="K271" t="s">
        <v>1590</v>
      </c>
      <c r="L271" t="s">
        <v>1605</v>
      </c>
      <c r="M271" t="s">
        <v>261</v>
      </c>
      <c r="N271" t="s">
        <v>261</v>
      </c>
      <c r="O271" t="s">
        <v>261</v>
      </c>
      <c r="P271" t="s">
        <v>261</v>
      </c>
      <c r="Q271" t="s">
        <v>261</v>
      </c>
      <c r="R271" t="s">
        <v>261</v>
      </c>
      <c r="S271" t="s">
        <v>261</v>
      </c>
      <c r="T271" t="s">
        <v>261</v>
      </c>
      <c r="U271" t="s">
        <v>261</v>
      </c>
      <c r="V271" t="s">
        <v>261</v>
      </c>
    </row>
    <row r="272" spans="1:22">
      <c r="A272" s="12">
        <f t="shared" si="10"/>
        <v>271</v>
      </c>
      <c r="B272" s="10" t="s">
        <v>1624</v>
      </c>
      <c r="C272" s="6">
        <v>44474</v>
      </c>
      <c r="D272" t="s">
        <v>1591</v>
      </c>
      <c r="E272" t="s">
        <v>1592</v>
      </c>
      <c r="F272" t="s">
        <v>1593</v>
      </c>
      <c r="G272" t="s">
        <v>18</v>
      </c>
      <c r="H272">
        <v>2</v>
      </c>
      <c r="I272" s="8">
        <v>1678</v>
      </c>
      <c r="J272" s="8">
        <f t="shared" si="11"/>
        <v>839</v>
      </c>
      <c r="K272" t="s">
        <v>1625</v>
      </c>
      <c r="L272" t="s">
        <v>1606</v>
      </c>
      <c r="M272" t="s">
        <v>261</v>
      </c>
      <c r="N272" t="s">
        <v>261</v>
      </c>
      <c r="O272" t="s">
        <v>261</v>
      </c>
      <c r="P272" t="s">
        <v>261</v>
      </c>
      <c r="Q272" t="s">
        <v>261</v>
      </c>
      <c r="R272" t="s">
        <v>261</v>
      </c>
      <c r="S272" t="s">
        <v>261</v>
      </c>
      <c r="T272" t="s">
        <v>261</v>
      </c>
      <c r="U272" t="s">
        <v>261</v>
      </c>
      <c r="V272" t="s">
        <v>261</v>
      </c>
    </row>
    <row r="273" spans="1:22">
      <c r="A273">
        <f t="shared" si="10"/>
        <v>272</v>
      </c>
      <c r="B273" s="10" t="s">
        <v>1600</v>
      </c>
      <c r="C273" s="6">
        <v>44475</v>
      </c>
      <c r="D273" t="s">
        <v>1601</v>
      </c>
      <c r="E273" t="s">
        <v>1602</v>
      </c>
      <c r="F273" t="s">
        <v>1603</v>
      </c>
      <c r="G273" t="s">
        <v>18</v>
      </c>
      <c r="H273">
        <v>1</v>
      </c>
      <c r="I273" s="8">
        <v>2264.8000000000002</v>
      </c>
      <c r="J273" s="8">
        <f t="shared" si="11"/>
        <v>2264.8000000000002</v>
      </c>
      <c r="K273" t="s">
        <v>1604</v>
      </c>
      <c r="L273" t="s">
        <v>1276</v>
      </c>
      <c r="M273" t="s">
        <v>261</v>
      </c>
      <c r="N273" t="s">
        <v>261</v>
      </c>
      <c r="O273" t="s">
        <v>261</v>
      </c>
      <c r="P273" t="s">
        <v>261</v>
      </c>
      <c r="Q273" t="s">
        <v>261</v>
      </c>
      <c r="R273" t="s">
        <v>261</v>
      </c>
      <c r="S273" t="s">
        <v>261</v>
      </c>
      <c r="T273" t="s">
        <v>261</v>
      </c>
      <c r="U273" t="s">
        <v>261</v>
      </c>
      <c r="V273" t="s">
        <v>261</v>
      </c>
    </row>
    <row r="274" spans="1:22">
      <c r="A274">
        <f t="shared" si="10"/>
        <v>273</v>
      </c>
      <c r="B274" s="10" t="s">
        <v>1613</v>
      </c>
      <c r="C274" s="6">
        <v>44476</v>
      </c>
      <c r="D274" t="s">
        <v>1614</v>
      </c>
      <c r="E274" t="s">
        <v>1615</v>
      </c>
      <c r="F274" t="s">
        <v>1616</v>
      </c>
      <c r="G274" t="s">
        <v>18</v>
      </c>
      <c r="H274">
        <v>1</v>
      </c>
      <c r="I274" s="8">
        <v>2616.3000000000002</v>
      </c>
      <c r="J274" s="8">
        <f t="shared" si="11"/>
        <v>2616.3000000000002</v>
      </c>
      <c r="K274" t="s">
        <v>1617</v>
      </c>
      <c r="L274" t="s">
        <v>1632</v>
      </c>
      <c r="M274" t="s">
        <v>261</v>
      </c>
      <c r="N274" t="s">
        <v>261</v>
      </c>
      <c r="O274" t="s">
        <v>261</v>
      </c>
      <c r="P274" t="s">
        <v>261</v>
      </c>
      <c r="Q274" t="s">
        <v>261</v>
      </c>
      <c r="R274" t="s">
        <v>261</v>
      </c>
      <c r="S274" t="s">
        <v>261</v>
      </c>
      <c r="T274" t="s">
        <v>261</v>
      </c>
      <c r="U274" t="s">
        <v>261</v>
      </c>
      <c r="V274" t="s">
        <v>261</v>
      </c>
    </row>
    <row r="275" spans="1:22">
      <c r="A275">
        <f t="shared" si="10"/>
        <v>274</v>
      </c>
      <c r="B275" s="10" t="s">
        <v>1618</v>
      </c>
      <c r="C275" s="6">
        <v>44476</v>
      </c>
      <c r="D275" t="s">
        <v>1619</v>
      </c>
      <c r="E275" t="s">
        <v>1620</v>
      </c>
      <c r="F275" s="22" t="s">
        <v>1621</v>
      </c>
      <c r="G275" t="s">
        <v>18</v>
      </c>
      <c r="H275">
        <v>1</v>
      </c>
      <c r="I275" s="8">
        <v>1478.2</v>
      </c>
      <c r="J275" s="8">
        <f t="shared" si="11"/>
        <v>1478.2</v>
      </c>
      <c r="K275" t="s">
        <v>1622</v>
      </c>
      <c r="L275" t="s">
        <v>1643</v>
      </c>
      <c r="M275" t="s">
        <v>261</v>
      </c>
      <c r="N275" t="s">
        <v>261</v>
      </c>
      <c r="O275" t="s">
        <v>261</v>
      </c>
      <c r="P275" t="s">
        <v>261</v>
      </c>
      <c r="Q275" t="s">
        <v>261</v>
      </c>
      <c r="R275" t="s">
        <v>261</v>
      </c>
      <c r="S275" t="s">
        <v>261</v>
      </c>
      <c r="T275" t="s">
        <v>261</v>
      </c>
      <c r="U275" t="s">
        <v>261</v>
      </c>
      <c r="V275" t="s">
        <v>261</v>
      </c>
    </row>
    <row r="276" spans="1:22">
      <c r="A276">
        <f t="shared" si="10"/>
        <v>275</v>
      </c>
      <c r="B276" s="10" t="s">
        <v>1627</v>
      </c>
      <c r="C276" s="6">
        <v>44473</v>
      </c>
      <c r="D276" t="s">
        <v>1628</v>
      </c>
      <c r="E276" t="s">
        <v>1629</v>
      </c>
      <c r="F276" t="s">
        <v>1630</v>
      </c>
      <c r="G276" t="s">
        <v>18</v>
      </c>
      <c r="H276">
        <v>1</v>
      </c>
      <c r="I276" s="8">
        <v>952.35</v>
      </c>
      <c r="J276" s="8">
        <f t="shared" si="11"/>
        <v>952.35</v>
      </c>
      <c r="K276" t="s">
        <v>1631</v>
      </c>
      <c r="L276" t="s">
        <v>1644</v>
      </c>
      <c r="M276" t="s">
        <v>261</v>
      </c>
      <c r="N276" t="s">
        <v>261</v>
      </c>
      <c r="O276" t="s">
        <v>261</v>
      </c>
      <c r="P276" t="s">
        <v>261</v>
      </c>
      <c r="Q276" t="s">
        <v>261</v>
      </c>
      <c r="R276" t="s">
        <v>261</v>
      </c>
      <c r="S276" t="s">
        <v>261</v>
      </c>
      <c r="T276" t="s">
        <v>261</v>
      </c>
      <c r="U276" t="s">
        <v>261</v>
      </c>
      <c r="V276" t="s">
        <v>261</v>
      </c>
    </row>
    <row r="277" spans="1:22">
      <c r="A277" s="21">
        <f t="shared" si="10"/>
        <v>276</v>
      </c>
      <c r="B277" s="10" t="s">
        <v>1633</v>
      </c>
      <c r="C277" s="6">
        <v>44480</v>
      </c>
      <c r="D277" t="s">
        <v>1634</v>
      </c>
      <c r="E277" t="s">
        <v>1635</v>
      </c>
      <c r="F277" t="s">
        <v>1636</v>
      </c>
      <c r="G277" t="s">
        <v>18</v>
      </c>
      <c r="H277">
        <v>1</v>
      </c>
      <c r="I277" s="8">
        <v>1315</v>
      </c>
      <c r="J277" s="8">
        <f t="shared" si="11"/>
        <v>1315</v>
      </c>
      <c r="K277" t="s">
        <v>1637</v>
      </c>
      <c r="L277" t="s">
        <v>281</v>
      </c>
      <c r="M277" t="s">
        <v>261</v>
      </c>
      <c r="N277" t="s">
        <v>261</v>
      </c>
      <c r="O277" t="s">
        <v>261</v>
      </c>
      <c r="P277" t="s">
        <v>261</v>
      </c>
      <c r="Q277" t="s">
        <v>261</v>
      </c>
      <c r="R277" t="s">
        <v>261</v>
      </c>
      <c r="S277" t="s">
        <v>261</v>
      </c>
      <c r="T277" t="s">
        <v>261</v>
      </c>
      <c r="U277" t="s">
        <v>261</v>
      </c>
      <c r="V277" t="s">
        <v>261</v>
      </c>
    </row>
    <row r="278" spans="1:22">
      <c r="A278">
        <f t="shared" si="10"/>
        <v>277</v>
      </c>
      <c r="B278" s="10" t="s">
        <v>1638</v>
      </c>
      <c r="C278" s="6">
        <v>44480</v>
      </c>
      <c r="D278" t="s">
        <v>1639</v>
      </c>
      <c r="E278" t="s">
        <v>1640</v>
      </c>
      <c r="F278" t="s">
        <v>1641</v>
      </c>
      <c r="G278" t="s">
        <v>18</v>
      </c>
      <c r="H278">
        <v>1</v>
      </c>
      <c r="I278" s="8">
        <v>994</v>
      </c>
      <c r="J278" s="8">
        <f t="shared" si="11"/>
        <v>994</v>
      </c>
      <c r="K278" t="s">
        <v>1642</v>
      </c>
      <c r="L278" t="s">
        <v>281</v>
      </c>
      <c r="M278" t="s">
        <v>261</v>
      </c>
      <c r="N278" t="s">
        <v>261</v>
      </c>
      <c r="O278" t="s">
        <v>261</v>
      </c>
      <c r="P278" t="s">
        <v>261</v>
      </c>
      <c r="Q278" t="s">
        <v>261</v>
      </c>
      <c r="R278" t="s">
        <v>261</v>
      </c>
      <c r="S278" t="s">
        <v>261</v>
      </c>
      <c r="T278" t="s">
        <v>261</v>
      </c>
      <c r="U278" t="s">
        <v>261</v>
      </c>
      <c r="V278" t="s">
        <v>261</v>
      </c>
    </row>
    <row r="279" spans="1:22">
      <c r="A279">
        <f t="shared" si="10"/>
        <v>278</v>
      </c>
      <c r="B279" s="10" t="s">
        <v>1645</v>
      </c>
      <c r="C279" s="6">
        <v>44481</v>
      </c>
      <c r="D279" t="s">
        <v>1646</v>
      </c>
      <c r="E279" t="s">
        <v>1647</v>
      </c>
      <c r="F279" t="s">
        <v>1648</v>
      </c>
      <c r="G279" t="s">
        <v>18</v>
      </c>
      <c r="H279">
        <v>1</v>
      </c>
      <c r="I279" s="8">
        <v>941.9</v>
      </c>
      <c r="J279" s="8">
        <f t="shared" si="11"/>
        <v>941.9</v>
      </c>
      <c r="K279" t="s">
        <v>1649</v>
      </c>
      <c r="L279" t="s">
        <v>1659</v>
      </c>
      <c r="M279" t="s">
        <v>261</v>
      </c>
      <c r="N279" t="s">
        <v>261</v>
      </c>
      <c r="O279" t="s">
        <v>261</v>
      </c>
      <c r="P279" t="s">
        <v>261</v>
      </c>
      <c r="Q279" t="s">
        <v>261</v>
      </c>
      <c r="R279" t="s">
        <v>261</v>
      </c>
      <c r="S279" t="s">
        <v>261</v>
      </c>
      <c r="T279" t="s">
        <v>261</v>
      </c>
      <c r="U279" t="s">
        <v>261</v>
      </c>
      <c r="V279" t="s">
        <v>261</v>
      </c>
    </row>
    <row r="280" spans="1:22">
      <c r="A280">
        <f t="shared" si="10"/>
        <v>279</v>
      </c>
      <c r="B280" s="10" t="s">
        <v>1654</v>
      </c>
      <c r="C280" s="6">
        <v>44482</v>
      </c>
      <c r="D280" t="s">
        <v>1655</v>
      </c>
      <c r="E280" t="s">
        <v>1656</v>
      </c>
      <c r="F280" t="s">
        <v>1657</v>
      </c>
      <c r="G280" t="s">
        <v>18</v>
      </c>
      <c r="H280">
        <v>1</v>
      </c>
      <c r="I280" s="8">
        <v>3561.3</v>
      </c>
      <c r="J280" s="8">
        <f t="shared" si="11"/>
        <v>3561.3</v>
      </c>
      <c r="K280" t="s">
        <v>1658</v>
      </c>
      <c r="L280" t="s">
        <v>403</v>
      </c>
      <c r="M280" t="s">
        <v>261</v>
      </c>
      <c r="N280" t="s">
        <v>261</v>
      </c>
      <c r="O280" t="s">
        <v>261</v>
      </c>
      <c r="P280" t="s">
        <v>261</v>
      </c>
      <c r="Q280" t="s">
        <v>261</v>
      </c>
      <c r="R280" t="s">
        <v>261</v>
      </c>
      <c r="S280" t="s">
        <v>261</v>
      </c>
      <c r="T280" t="s">
        <v>261</v>
      </c>
      <c r="U280" t="s">
        <v>261</v>
      </c>
      <c r="V280" t="s">
        <v>261</v>
      </c>
    </row>
    <row r="281" spans="1:22">
      <c r="A281">
        <f t="shared" si="10"/>
        <v>280</v>
      </c>
      <c r="B281" s="101" t="s">
        <v>1660</v>
      </c>
      <c r="C281" s="6">
        <v>44462</v>
      </c>
      <c r="D281" t="s">
        <v>1661</v>
      </c>
      <c r="E281" t="s">
        <v>1662</v>
      </c>
      <c r="F281" t="s">
        <v>1663</v>
      </c>
      <c r="G281" t="s">
        <v>63</v>
      </c>
      <c r="H281">
        <v>1</v>
      </c>
      <c r="I281" s="8">
        <v>1055.5999999999999</v>
      </c>
      <c r="J281" s="8">
        <f t="shared" si="11"/>
        <v>1055.5999999999999</v>
      </c>
      <c r="K281" t="s">
        <v>1664</v>
      </c>
      <c r="L281" t="s">
        <v>323</v>
      </c>
      <c r="M281" t="s">
        <v>261</v>
      </c>
      <c r="N281" t="s">
        <v>261</v>
      </c>
      <c r="O281" t="s">
        <v>261</v>
      </c>
      <c r="P281" t="s">
        <v>261</v>
      </c>
      <c r="Q281" t="s">
        <v>261</v>
      </c>
      <c r="R281" t="s">
        <v>261</v>
      </c>
      <c r="S281" t="s">
        <v>261</v>
      </c>
      <c r="T281" t="s">
        <v>261</v>
      </c>
      <c r="U281" t="s">
        <v>261</v>
      </c>
      <c r="V281" t="s">
        <v>261</v>
      </c>
    </row>
    <row r="282" spans="1:22">
      <c r="A282" s="12">
        <f t="shared" si="10"/>
        <v>281</v>
      </c>
      <c r="B282" s="101" t="s">
        <v>2090</v>
      </c>
      <c r="C282" s="6">
        <v>44477</v>
      </c>
      <c r="D282" t="s">
        <v>1693</v>
      </c>
      <c r="E282" t="s">
        <v>1667</v>
      </c>
      <c r="F282" t="s">
        <v>1668</v>
      </c>
      <c r="G282" t="s">
        <v>18</v>
      </c>
      <c r="H282">
        <v>3</v>
      </c>
      <c r="I282" s="8">
        <v>5200.3500000000004</v>
      </c>
      <c r="J282" s="8">
        <f t="shared" si="11"/>
        <v>1733.45</v>
      </c>
      <c r="K282" t="s">
        <v>2091</v>
      </c>
      <c r="L282" t="s">
        <v>2089</v>
      </c>
      <c r="M282" t="s">
        <v>261</v>
      </c>
      <c r="N282" t="s">
        <v>261</v>
      </c>
      <c r="O282" t="s">
        <v>261</v>
      </c>
      <c r="P282" t="s">
        <v>261</v>
      </c>
      <c r="Q282" t="s">
        <v>261</v>
      </c>
      <c r="R282" t="s">
        <v>261</v>
      </c>
      <c r="S282" t="s">
        <v>261</v>
      </c>
      <c r="T282" t="s">
        <v>261</v>
      </c>
      <c r="U282" t="s">
        <v>261</v>
      </c>
      <c r="V282" t="s">
        <v>261</v>
      </c>
    </row>
    <row r="283" spans="1:22">
      <c r="A283">
        <f t="shared" si="10"/>
        <v>282</v>
      </c>
      <c r="B283" s="10" t="s">
        <v>1670</v>
      </c>
      <c r="C283" s="6">
        <v>44478</v>
      </c>
      <c r="D283" t="s">
        <v>1671</v>
      </c>
      <c r="E283" t="s">
        <v>1672</v>
      </c>
      <c r="F283" t="s">
        <v>1673</v>
      </c>
      <c r="G283" t="s">
        <v>18</v>
      </c>
      <c r="H283">
        <v>1</v>
      </c>
      <c r="I283" s="8">
        <v>1998.8</v>
      </c>
      <c r="J283" s="8">
        <f t="shared" si="11"/>
        <v>1998.8</v>
      </c>
      <c r="K283" t="s">
        <v>1674</v>
      </c>
      <c r="L283" t="s">
        <v>1678</v>
      </c>
      <c r="M283" t="s">
        <v>261</v>
      </c>
      <c r="N283" t="s">
        <v>261</v>
      </c>
      <c r="O283" t="s">
        <v>261</v>
      </c>
      <c r="P283" t="s">
        <v>261</v>
      </c>
      <c r="Q283" t="s">
        <v>261</v>
      </c>
      <c r="R283" t="s">
        <v>261</v>
      </c>
      <c r="S283" t="s">
        <v>261</v>
      </c>
      <c r="T283" t="s">
        <v>261</v>
      </c>
      <c r="U283" t="s">
        <v>261</v>
      </c>
      <c r="V283" t="s">
        <v>261</v>
      </c>
    </row>
    <row r="284" spans="1:22">
      <c r="A284">
        <f t="shared" si="10"/>
        <v>283</v>
      </c>
      <c r="B284" s="101" t="s">
        <v>1683</v>
      </c>
      <c r="C284" s="6">
        <v>44484</v>
      </c>
      <c r="D284" t="s">
        <v>1684</v>
      </c>
      <c r="E284" t="s">
        <v>1685</v>
      </c>
      <c r="F284" t="s">
        <v>1686</v>
      </c>
      <c r="G284" t="s">
        <v>18</v>
      </c>
      <c r="H284">
        <v>1</v>
      </c>
      <c r="I284" s="8">
        <v>973.75</v>
      </c>
      <c r="J284" s="8">
        <f t="shared" si="11"/>
        <v>973.75</v>
      </c>
      <c r="K284" t="s">
        <v>1687</v>
      </c>
      <c r="L284" t="s">
        <v>1688</v>
      </c>
      <c r="M284" t="s">
        <v>261</v>
      </c>
      <c r="N284" t="s">
        <v>261</v>
      </c>
      <c r="O284" t="s">
        <v>261</v>
      </c>
      <c r="P284" t="s">
        <v>261</v>
      </c>
      <c r="Q284" t="s">
        <v>261</v>
      </c>
      <c r="R284" t="s">
        <v>261</v>
      </c>
      <c r="S284" t="s">
        <v>261</v>
      </c>
      <c r="T284" t="s">
        <v>261</v>
      </c>
      <c r="U284" t="s">
        <v>261</v>
      </c>
      <c r="V284" t="s">
        <v>261</v>
      </c>
    </row>
    <row r="285" spans="1:22">
      <c r="A285">
        <f t="shared" si="10"/>
        <v>284</v>
      </c>
      <c r="B285" s="10" t="s">
        <v>1690</v>
      </c>
      <c r="C285" s="6">
        <v>44485</v>
      </c>
      <c r="D285" t="s">
        <v>1691</v>
      </c>
      <c r="E285" t="s">
        <v>1692</v>
      </c>
      <c r="F285" t="s">
        <v>1694</v>
      </c>
      <c r="G285" t="s">
        <v>63</v>
      </c>
      <c r="H285">
        <v>1</v>
      </c>
      <c r="I285" s="8">
        <v>2047.5</v>
      </c>
      <c r="J285" s="8">
        <f t="shared" si="11"/>
        <v>2047.5</v>
      </c>
      <c r="K285" t="s">
        <v>1695</v>
      </c>
      <c r="L285" t="s">
        <v>1366</v>
      </c>
      <c r="M285" t="s">
        <v>261</v>
      </c>
      <c r="N285" t="s">
        <v>261</v>
      </c>
      <c r="O285" t="s">
        <v>261</v>
      </c>
      <c r="P285" t="s">
        <v>261</v>
      </c>
      <c r="Q285" t="s">
        <v>261</v>
      </c>
      <c r="R285" t="s">
        <v>261</v>
      </c>
      <c r="S285" t="s">
        <v>261</v>
      </c>
      <c r="T285" t="s">
        <v>261</v>
      </c>
      <c r="U285" t="s">
        <v>261</v>
      </c>
      <c r="V285" t="s">
        <v>261</v>
      </c>
    </row>
    <row r="286" spans="1:22">
      <c r="A286">
        <f t="shared" si="10"/>
        <v>285</v>
      </c>
      <c r="B286" s="10" t="s">
        <v>1696</v>
      </c>
      <c r="C286" s="6">
        <v>44487</v>
      </c>
      <c r="D286" t="s">
        <v>1697</v>
      </c>
      <c r="E286" t="s">
        <v>1698</v>
      </c>
      <c r="F286" t="s">
        <v>1699</v>
      </c>
      <c r="G286" t="s">
        <v>18</v>
      </c>
      <c r="H286">
        <v>1</v>
      </c>
      <c r="I286" s="8">
        <v>2007.92</v>
      </c>
      <c r="J286" s="8">
        <f t="shared" si="11"/>
        <v>2007.92</v>
      </c>
      <c r="K286" t="s">
        <v>1700</v>
      </c>
      <c r="L286" t="s">
        <v>638</v>
      </c>
      <c r="M286" t="s">
        <v>261</v>
      </c>
      <c r="N286" t="s">
        <v>261</v>
      </c>
      <c r="O286" t="s">
        <v>261</v>
      </c>
      <c r="P286" t="s">
        <v>261</v>
      </c>
      <c r="Q286" t="s">
        <v>261</v>
      </c>
      <c r="R286" t="s">
        <v>261</v>
      </c>
      <c r="S286" t="s">
        <v>261</v>
      </c>
      <c r="T286" t="s">
        <v>261</v>
      </c>
      <c r="U286" t="s">
        <v>261</v>
      </c>
      <c r="V286" t="s">
        <v>261</v>
      </c>
    </row>
    <row r="287" spans="1:22">
      <c r="A287" s="21">
        <f t="shared" si="10"/>
        <v>286</v>
      </c>
      <c r="B287" s="10" t="s">
        <v>1703</v>
      </c>
      <c r="C287" s="6">
        <v>44488</v>
      </c>
      <c r="D287" t="s">
        <v>1704</v>
      </c>
      <c r="E287" t="s">
        <v>1705</v>
      </c>
      <c r="F287" t="s">
        <v>1706</v>
      </c>
      <c r="G287" t="s">
        <v>18</v>
      </c>
      <c r="H287">
        <v>1</v>
      </c>
      <c r="I287" s="8">
        <v>1719.12</v>
      </c>
      <c r="J287" s="8">
        <f t="shared" si="11"/>
        <v>1719.12</v>
      </c>
      <c r="K287" t="s">
        <v>1707</v>
      </c>
      <c r="L287" t="s">
        <v>1726</v>
      </c>
      <c r="M287" t="s">
        <v>261</v>
      </c>
      <c r="N287" t="s">
        <v>261</v>
      </c>
      <c r="O287" t="s">
        <v>261</v>
      </c>
      <c r="P287" t="s">
        <v>261</v>
      </c>
      <c r="Q287" t="s">
        <v>261</v>
      </c>
      <c r="R287" t="s">
        <v>261</v>
      </c>
      <c r="S287" t="s">
        <v>261</v>
      </c>
      <c r="T287" t="s">
        <v>261</v>
      </c>
      <c r="U287" t="s">
        <v>261</v>
      </c>
      <c r="V287" t="s">
        <v>261</v>
      </c>
    </row>
    <row r="288" spans="1:22">
      <c r="A288" s="21">
        <f t="shared" si="10"/>
        <v>287</v>
      </c>
      <c r="B288" s="10" t="s">
        <v>1708</v>
      </c>
      <c r="C288" s="6">
        <v>44488</v>
      </c>
      <c r="D288" t="s">
        <v>1709</v>
      </c>
      <c r="E288" t="s">
        <v>1710</v>
      </c>
      <c r="F288" t="s">
        <v>1711</v>
      </c>
      <c r="G288" t="s">
        <v>18</v>
      </c>
      <c r="H288">
        <v>1</v>
      </c>
      <c r="I288" s="8">
        <v>1151.4000000000001</v>
      </c>
      <c r="J288" s="8">
        <f t="shared" si="11"/>
        <v>1151.4000000000001</v>
      </c>
      <c r="K288" t="s">
        <v>1712</v>
      </c>
      <c r="L288" t="s">
        <v>1713</v>
      </c>
      <c r="M288" t="s">
        <v>261</v>
      </c>
      <c r="N288" t="s">
        <v>261</v>
      </c>
      <c r="O288" t="s">
        <v>261</v>
      </c>
      <c r="P288" t="s">
        <v>261</v>
      </c>
      <c r="Q288" t="s">
        <v>261</v>
      </c>
      <c r="R288" t="s">
        <v>261</v>
      </c>
      <c r="S288" t="s">
        <v>261</v>
      </c>
      <c r="T288" t="s">
        <v>261</v>
      </c>
      <c r="U288" t="s">
        <v>261</v>
      </c>
      <c r="V288" t="s">
        <v>261</v>
      </c>
    </row>
    <row r="289" spans="1:22">
      <c r="A289">
        <f t="shared" si="10"/>
        <v>288</v>
      </c>
      <c r="B289" s="10" t="s">
        <v>1727</v>
      </c>
      <c r="C289" s="6">
        <v>44489</v>
      </c>
      <c r="D289" t="s">
        <v>1728</v>
      </c>
      <c r="E289" t="s">
        <v>1729</v>
      </c>
      <c r="F289" t="s">
        <v>1730</v>
      </c>
      <c r="G289" t="s">
        <v>18</v>
      </c>
      <c r="H289">
        <v>1</v>
      </c>
      <c r="I289" s="8">
        <v>1540.8</v>
      </c>
      <c r="J289" s="8">
        <f t="shared" si="11"/>
        <v>1540.8</v>
      </c>
      <c r="K289" t="s">
        <v>1731</v>
      </c>
      <c r="L289" t="s">
        <v>1783</v>
      </c>
      <c r="M289" t="s">
        <v>261</v>
      </c>
      <c r="N289" t="s">
        <v>261</v>
      </c>
      <c r="O289" t="s">
        <v>261</v>
      </c>
      <c r="P289" t="s">
        <v>261</v>
      </c>
      <c r="Q289" t="s">
        <v>261</v>
      </c>
      <c r="R289" t="s">
        <v>261</v>
      </c>
      <c r="S289" t="s">
        <v>261</v>
      </c>
      <c r="T289" t="s">
        <v>261</v>
      </c>
      <c r="U289" t="s">
        <v>261</v>
      </c>
      <c r="V289" t="s">
        <v>261</v>
      </c>
    </row>
    <row r="290" spans="1:22">
      <c r="A290">
        <f t="shared" si="10"/>
        <v>289</v>
      </c>
      <c r="B290" s="10" t="s">
        <v>1732</v>
      </c>
      <c r="C290" s="6">
        <v>44489</v>
      </c>
      <c r="D290" t="s">
        <v>1733</v>
      </c>
      <c r="E290" t="s">
        <v>1734</v>
      </c>
      <c r="F290" t="s">
        <v>1735</v>
      </c>
      <c r="G290" t="s">
        <v>18</v>
      </c>
      <c r="H290">
        <v>1</v>
      </c>
      <c r="I290" s="8">
        <v>1111.5</v>
      </c>
      <c r="J290" s="8">
        <f t="shared" si="11"/>
        <v>1111.5</v>
      </c>
      <c r="K290" t="s">
        <v>1736</v>
      </c>
      <c r="L290" t="s">
        <v>1784</v>
      </c>
      <c r="M290" t="s">
        <v>261</v>
      </c>
      <c r="N290" t="s">
        <v>261</v>
      </c>
      <c r="O290" t="s">
        <v>261</v>
      </c>
      <c r="P290" t="s">
        <v>261</v>
      </c>
      <c r="Q290" t="s">
        <v>261</v>
      </c>
      <c r="R290" t="s">
        <v>261</v>
      </c>
      <c r="S290" t="s">
        <v>261</v>
      </c>
      <c r="T290" t="s">
        <v>261</v>
      </c>
      <c r="U290" t="s">
        <v>261</v>
      </c>
      <c r="V290" t="s">
        <v>261</v>
      </c>
    </row>
    <row r="291" spans="1:22">
      <c r="A291">
        <f t="shared" si="10"/>
        <v>290</v>
      </c>
      <c r="B291" s="101" t="s">
        <v>1778</v>
      </c>
      <c r="C291" s="6">
        <v>44491</v>
      </c>
      <c r="D291" t="s">
        <v>1779</v>
      </c>
      <c r="F291" t="s">
        <v>1780</v>
      </c>
      <c r="G291" t="s">
        <v>18</v>
      </c>
      <c r="H291">
        <v>1</v>
      </c>
      <c r="I291" s="8">
        <v>1315.75</v>
      </c>
      <c r="J291" s="8">
        <f t="shared" si="11"/>
        <v>1315.75</v>
      </c>
      <c r="K291" t="s">
        <v>1781</v>
      </c>
      <c r="L291" t="s">
        <v>1782</v>
      </c>
      <c r="M291" t="s">
        <v>261</v>
      </c>
      <c r="N291" t="s">
        <v>261</v>
      </c>
      <c r="O291" t="s">
        <v>261</v>
      </c>
      <c r="P291" t="s">
        <v>261</v>
      </c>
      <c r="Q291" t="s">
        <v>261</v>
      </c>
      <c r="R291" t="s">
        <v>261</v>
      </c>
      <c r="S291" t="s">
        <v>261</v>
      </c>
      <c r="T291" t="s">
        <v>261</v>
      </c>
      <c r="U291" t="s">
        <v>261</v>
      </c>
      <c r="V291" t="s">
        <v>261</v>
      </c>
    </row>
    <row r="292" spans="1:22">
      <c r="A292">
        <f t="shared" si="10"/>
        <v>291</v>
      </c>
      <c r="B292" s="10" t="s">
        <v>1785</v>
      </c>
      <c r="C292" s="6">
        <v>44492</v>
      </c>
      <c r="D292" t="s">
        <v>1786</v>
      </c>
      <c r="E292" t="s">
        <v>1787</v>
      </c>
      <c r="F292" t="s">
        <v>1788</v>
      </c>
      <c r="G292" t="s">
        <v>18</v>
      </c>
      <c r="H292">
        <v>1</v>
      </c>
      <c r="I292" s="8">
        <v>1998</v>
      </c>
      <c r="J292" s="8">
        <f t="shared" si="11"/>
        <v>1998</v>
      </c>
      <c r="K292" t="s">
        <v>1789</v>
      </c>
      <c r="L292" t="s">
        <v>391</v>
      </c>
      <c r="M292" t="s">
        <v>261</v>
      </c>
      <c r="N292" t="s">
        <v>261</v>
      </c>
      <c r="O292" t="s">
        <v>261</v>
      </c>
      <c r="P292" t="s">
        <v>261</v>
      </c>
      <c r="Q292" t="s">
        <v>261</v>
      </c>
      <c r="R292" t="s">
        <v>261</v>
      </c>
      <c r="S292" t="s">
        <v>261</v>
      </c>
      <c r="T292" t="s">
        <v>261</v>
      </c>
      <c r="U292" t="s">
        <v>261</v>
      </c>
      <c r="V292" t="s">
        <v>261</v>
      </c>
    </row>
    <row r="293" spans="1:22">
      <c r="A293" s="18">
        <f t="shared" si="10"/>
        <v>292</v>
      </c>
      <c r="B293" s="10" t="s">
        <v>1790</v>
      </c>
      <c r="C293" s="6">
        <v>44493</v>
      </c>
      <c r="D293" t="s">
        <v>1791</v>
      </c>
      <c r="E293" t="s">
        <v>1792</v>
      </c>
      <c r="F293" t="s">
        <v>1793</v>
      </c>
      <c r="G293" t="s">
        <v>18</v>
      </c>
      <c r="H293">
        <v>1</v>
      </c>
      <c r="I293" s="8">
        <v>1310</v>
      </c>
      <c r="J293" s="8">
        <f t="shared" si="11"/>
        <v>1310</v>
      </c>
      <c r="K293" t="s">
        <v>1794</v>
      </c>
      <c r="L293" t="s">
        <v>1795</v>
      </c>
      <c r="M293" t="s">
        <v>261</v>
      </c>
      <c r="N293" t="s">
        <v>261</v>
      </c>
      <c r="O293" t="s">
        <v>261</v>
      </c>
      <c r="P293" t="s">
        <v>261</v>
      </c>
      <c r="Q293" t="s">
        <v>261</v>
      </c>
      <c r="R293" t="s">
        <v>261</v>
      </c>
      <c r="S293" t="s">
        <v>261</v>
      </c>
      <c r="T293" t="s">
        <v>261</v>
      </c>
      <c r="U293" t="s">
        <v>261</v>
      </c>
      <c r="V293" t="s">
        <v>261</v>
      </c>
    </row>
    <row r="294" spans="1:22">
      <c r="A294">
        <f t="shared" si="10"/>
        <v>293</v>
      </c>
      <c r="B294" s="10" t="s">
        <v>1821</v>
      </c>
      <c r="C294" s="6">
        <v>44494</v>
      </c>
      <c r="D294" t="s">
        <v>1822</v>
      </c>
      <c r="E294" t="s">
        <v>1823</v>
      </c>
      <c r="F294" t="s">
        <v>1824</v>
      </c>
      <c r="G294" t="s">
        <v>18</v>
      </c>
      <c r="H294">
        <v>1</v>
      </c>
      <c r="I294" s="8">
        <v>1003.5</v>
      </c>
      <c r="J294" s="8">
        <f t="shared" si="11"/>
        <v>1003.5</v>
      </c>
      <c r="K294" t="s">
        <v>1825</v>
      </c>
      <c r="L294" t="s">
        <v>1826</v>
      </c>
      <c r="M294" t="s">
        <v>261</v>
      </c>
      <c r="N294" t="s">
        <v>261</v>
      </c>
      <c r="O294" t="s">
        <v>261</v>
      </c>
      <c r="P294" t="s">
        <v>261</v>
      </c>
      <c r="Q294" t="s">
        <v>261</v>
      </c>
      <c r="R294" t="s">
        <v>261</v>
      </c>
      <c r="S294" t="s">
        <v>261</v>
      </c>
      <c r="T294" t="s">
        <v>261</v>
      </c>
      <c r="U294" t="s">
        <v>261</v>
      </c>
      <c r="V294" t="s">
        <v>261</v>
      </c>
    </row>
    <row r="295" spans="1:22">
      <c r="A295">
        <f t="shared" si="10"/>
        <v>294</v>
      </c>
      <c r="B295" s="101" t="s">
        <v>1828</v>
      </c>
      <c r="C295" s="6">
        <v>44495</v>
      </c>
      <c r="D295" t="s">
        <v>1830</v>
      </c>
      <c r="E295" t="s">
        <v>1829</v>
      </c>
      <c r="F295" t="s">
        <v>1831</v>
      </c>
      <c r="G295" t="s">
        <v>18</v>
      </c>
      <c r="H295">
        <v>1</v>
      </c>
      <c r="I295" s="8">
        <v>1128</v>
      </c>
      <c r="J295" s="8">
        <f t="shared" si="11"/>
        <v>1128</v>
      </c>
      <c r="K295" t="s">
        <v>1832</v>
      </c>
      <c r="L295" t="s">
        <v>1833</v>
      </c>
      <c r="M295" t="s">
        <v>261</v>
      </c>
      <c r="N295" t="s">
        <v>261</v>
      </c>
      <c r="O295" t="s">
        <v>261</v>
      </c>
      <c r="P295" t="s">
        <v>261</v>
      </c>
      <c r="Q295" t="s">
        <v>261</v>
      </c>
      <c r="R295" t="s">
        <v>261</v>
      </c>
      <c r="S295" t="s">
        <v>261</v>
      </c>
      <c r="T295" t="s">
        <v>261</v>
      </c>
      <c r="U295" t="s">
        <v>261</v>
      </c>
      <c r="V295" t="s">
        <v>261</v>
      </c>
    </row>
    <row r="296" spans="1:22">
      <c r="A296" s="18">
        <f t="shared" si="10"/>
        <v>295</v>
      </c>
      <c r="B296" s="10" t="s">
        <v>1838</v>
      </c>
      <c r="C296" s="6">
        <v>44496</v>
      </c>
      <c r="D296" t="s">
        <v>1839</v>
      </c>
      <c r="E296" t="s">
        <v>1840</v>
      </c>
      <c r="F296" t="s">
        <v>1841</v>
      </c>
      <c r="G296" t="s">
        <v>18</v>
      </c>
      <c r="H296">
        <v>1</v>
      </c>
      <c r="I296" s="8">
        <v>1075.32</v>
      </c>
      <c r="J296" s="8">
        <f t="shared" si="11"/>
        <v>1075.32</v>
      </c>
      <c r="K296" t="s">
        <v>1382</v>
      </c>
      <c r="L296" t="s">
        <v>1868</v>
      </c>
      <c r="M296" t="s">
        <v>261</v>
      </c>
      <c r="N296" t="s">
        <v>261</v>
      </c>
      <c r="O296" t="s">
        <v>261</v>
      </c>
      <c r="P296" t="s">
        <v>261</v>
      </c>
      <c r="Q296" t="s">
        <v>261</v>
      </c>
      <c r="R296" t="s">
        <v>261</v>
      </c>
      <c r="S296" t="s">
        <v>261</v>
      </c>
      <c r="T296" t="s">
        <v>261</v>
      </c>
      <c r="U296" t="s">
        <v>261</v>
      </c>
      <c r="V296" t="s">
        <v>261</v>
      </c>
    </row>
    <row r="297" spans="1:22">
      <c r="A297">
        <f t="shared" si="10"/>
        <v>296</v>
      </c>
      <c r="B297" s="101" t="s">
        <v>1842</v>
      </c>
      <c r="C297" s="6">
        <v>44496</v>
      </c>
      <c r="D297" t="s">
        <v>1844</v>
      </c>
      <c r="E297" t="s">
        <v>1845</v>
      </c>
      <c r="F297" t="s">
        <v>1843</v>
      </c>
      <c r="G297" t="s">
        <v>18</v>
      </c>
      <c r="H297">
        <v>1</v>
      </c>
      <c r="I297" s="8">
        <v>1615.92</v>
      </c>
      <c r="J297" s="8">
        <f t="shared" si="11"/>
        <v>1615.92</v>
      </c>
      <c r="K297" t="s">
        <v>1846</v>
      </c>
      <c r="L297" t="s">
        <v>681</v>
      </c>
      <c r="M297" t="s">
        <v>261</v>
      </c>
      <c r="N297" t="s">
        <v>261</v>
      </c>
      <c r="O297" t="s">
        <v>261</v>
      </c>
      <c r="P297" t="s">
        <v>261</v>
      </c>
      <c r="Q297" t="s">
        <v>261</v>
      </c>
      <c r="R297" t="s">
        <v>261</v>
      </c>
      <c r="S297" t="s">
        <v>261</v>
      </c>
      <c r="T297" t="s">
        <v>261</v>
      </c>
      <c r="U297" t="s">
        <v>261</v>
      </c>
      <c r="V297" t="s">
        <v>261</v>
      </c>
    </row>
    <row r="298" spans="1:22">
      <c r="A298">
        <f t="shared" si="10"/>
        <v>297</v>
      </c>
      <c r="B298" s="10" t="s">
        <v>2433</v>
      </c>
      <c r="C298" s="6">
        <v>44496</v>
      </c>
      <c r="D298" t="s">
        <v>1848</v>
      </c>
      <c r="E298" t="s">
        <v>1849</v>
      </c>
      <c r="F298" t="s">
        <v>1850</v>
      </c>
      <c r="G298" t="s">
        <v>18</v>
      </c>
      <c r="H298">
        <v>1</v>
      </c>
      <c r="I298" s="8">
        <v>1752.3</v>
      </c>
      <c r="J298" s="8">
        <f t="shared" si="11"/>
        <v>1752.3</v>
      </c>
      <c r="K298" t="s">
        <v>1851</v>
      </c>
      <c r="L298" t="s">
        <v>403</v>
      </c>
      <c r="M298" t="s">
        <v>261</v>
      </c>
      <c r="N298" t="s">
        <v>261</v>
      </c>
      <c r="O298" t="s">
        <v>261</v>
      </c>
      <c r="P298" t="s">
        <v>261</v>
      </c>
      <c r="Q298" t="s">
        <v>261</v>
      </c>
      <c r="R298" t="s">
        <v>261</v>
      </c>
      <c r="S298" t="s">
        <v>261</v>
      </c>
      <c r="T298" t="s">
        <v>261</v>
      </c>
      <c r="U298" t="s">
        <v>261</v>
      </c>
      <c r="V298" t="s">
        <v>261</v>
      </c>
    </row>
    <row r="299" spans="1:22">
      <c r="A299">
        <f t="shared" si="10"/>
        <v>298</v>
      </c>
      <c r="B299" s="10" t="s">
        <v>1852</v>
      </c>
      <c r="C299" s="6">
        <v>44496</v>
      </c>
      <c r="D299" t="s">
        <v>1853</v>
      </c>
      <c r="E299" t="s">
        <v>1854</v>
      </c>
      <c r="F299" t="s">
        <v>1855</v>
      </c>
      <c r="G299" t="s">
        <v>18</v>
      </c>
      <c r="H299">
        <v>1</v>
      </c>
      <c r="I299" s="8">
        <v>436</v>
      </c>
      <c r="J299" s="8">
        <f t="shared" si="11"/>
        <v>436</v>
      </c>
      <c r="K299" t="s">
        <v>1856</v>
      </c>
      <c r="L299" t="s">
        <v>1879</v>
      </c>
      <c r="M299" t="s">
        <v>261</v>
      </c>
      <c r="N299" t="s">
        <v>261</v>
      </c>
      <c r="O299" t="s">
        <v>261</v>
      </c>
      <c r="P299" t="s">
        <v>261</v>
      </c>
      <c r="Q299" t="s">
        <v>261</v>
      </c>
      <c r="R299" t="s">
        <v>261</v>
      </c>
      <c r="S299" t="s">
        <v>261</v>
      </c>
      <c r="T299" t="s">
        <v>261</v>
      </c>
      <c r="U299" t="s">
        <v>261</v>
      </c>
      <c r="V299" t="s">
        <v>261</v>
      </c>
    </row>
    <row r="300" spans="1:22">
      <c r="A300">
        <f t="shared" si="10"/>
        <v>299</v>
      </c>
      <c r="B300" s="10" t="s">
        <v>1863</v>
      </c>
      <c r="C300" s="6">
        <v>44497</v>
      </c>
      <c r="D300" t="s">
        <v>1864</v>
      </c>
      <c r="E300" t="s">
        <v>1865</v>
      </c>
      <c r="F300" t="s">
        <v>1866</v>
      </c>
      <c r="G300" t="s">
        <v>18</v>
      </c>
      <c r="H300">
        <v>1</v>
      </c>
      <c r="I300" s="8">
        <v>2747.22</v>
      </c>
      <c r="J300" s="8">
        <f t="shared" si="11"/>
        <v>2747.22</v>
      </c>
      <c r="K300" t="s">
        <v>1867</v>
      </c>
      <c r="L300" t="s">
        <v>747</v>
      </c>
      <c r="M300" t="s">
        <v>261</v>
      </c>
      <c r="N300" t="s">
        <v>261</v>
      </c>
      <c r="O300" t="s">
        <v>261</v>
      </c>
      <c r="P300" t="s">
        <v>261</v>
      </c>
      <c r="Q300" t="s">
        <v>261</v>
      </c>
      <c r="R300" t="s">
        <v>261</v>
      </c>
      <c r="S300" t="s">
        <v>261</v>
      </c>
      <c r="T300" t="s">
        <v>261</v>
      </c>
      <c r="U300" t="s">
        <v>261</v>
      </c>
      <c r="V300" t="s">
        <v>261</v>
      </c>
    </row>
    <row r="301" spans="1:22">
      <c r="A301">
        <f t="shared" si="10"/>
        <v>300</v>
      </c>
      <c r="B301" s="10" t="s">
        <v>1874</v>
      </c>
      <c r="C301" s="6">
        <v>44498</v>
      </c>
      <c r="D301" t="s">
        <v>1875</v>
      </c>
      <c r="E301" t="s">
        <v>1876</v>
      </c>
      <c r="F301" t="s">
        <v>1877</v>
      </c>
      <c r="G301" t="s">
        <v>18</v>
      </c>
      <c r="H301">
        <v>1</v>
      </c>
      <c r="I301" s="8">
        <v>2341.8000000000002</v>
      </c>
      <c r="J301" s="8">
        <f t="shared" si="11"/>
        <v>2341.8000000000002</v>
      </c>
      <c r="K301" t="s">
        <v>1878</v>
      </c>
      <c r="L301" t="s">
        <v>1909</v>
      </c>
      <c r="M301" t="s">
        <v>261</v>
      </c>
      <c r="N301" t="s">
        <v>261</v>
      </c>
      <c r="O301" t="s">
        <v>261</v>
      </c>
      <c r="P301" t="s">
        <v>261</v>
      </c>
      <c r="Q301" t="s">
        <v>261</v>
      </c>
      <c r="R301" t="s">
        <v>261</v>
      </c>
      <c r="S301" t="s">
        <v>261</v>
      </c>
      <c r="T301" t="s">
        <v>261</v>
      </c>
      <c r="U301" t="s">
        <v>261</v>
      </c>
      <c r="V301" t="s">
        <v>261</v>
      </c>
    </row>
    <row r="302" spans="1:22">
      <c r="A302">
        <f t="shared" si="10"/>
        <v>301</v>
      </c>
      <c r="B302" s="10" t="s">
        <v>1880</v>
      </c>
      <c r="C302" s="6">
        <v>44498</v>
      </c>
      <c r="D302" t="s">
        <v>1881</v>
      </c>
      <c r="E302" t="s">
        <v>1882</v>
      </c>
      <c r="F302" t="s">
        <v>1883</v>
      </c>
      <c r="G302" t="s">
        <v>18</v>
      </c>
      <c r="H302">
        <v>1</v>
      </c>
      <c r="I302" s="8">
        <v>819</v>
      </c>
      <c r="J302" s="8">
        <f t="shared" si="11"/>
        <v>819</v>
      </c>
      <c r="K302" t="s">
        <v>524</v>
      </c>
      <c r="L302" t="s">
        <v>681</v>
      </c>
      <c r="M302" t="s">
        <v>261</v>
      </c>
      <c r="N302" t="s">
        <v>261</v>
      </c>
      <c r="O302" t="s">
        <v>261</v>
      </c>
      <c r="P302" t="s">
        <v>261</v>
      </c>
      <c r="Q302" t="s">
        <v>261</v>
      </c>
      <c r="R302" t="s">
        <v>261</v>
      </c>
      <c r="S302" t="s">
        <v>261</v>
      </c>
      <c r="T302" t="s">
        <v>261</v>
      </c>
      <c r="U302" t="s">
        <v>261</v>
      </c>
      <c r="V302" t="s">
        <v>261</v>
      </c>
    </row>
    <row r="303" spans="1:22">
      <c r="A303" s="18">
        <f t="shared" si="10"/>
        <v>302</v>
      </c>
      <c r="B303" s="10" t="s">
        <v>1884</v>
      </c>
      <c r="C303" s="6">
        <v>44499</v>
      </c>
      <c r="D303" t="s">
        <v>1885</v>
      </c>
      <c r="E303" t="s">
        <v>1886</v>
      </c>
      <c r="F303" t="s">
        <v>1887</v>
      </c>
      <c r="G303" t="s">
        <v>18</v>
      </c>
      <c r="H303">
        <v>1</v>
      </c>
      <c r="I303" s="8">
        <v>2775.18</v>
      </c>
      <c r="J303" s="8">
        <f t="shared" si="11"/>
        <v>2775.18</v>
      </c>
      <c r="K303" t="s">
        <v>1888</v>
      </c>
      <c r="L303" t="s">
        <v>1889</v>
      </c>
      <c r="M303" t="s">
        <v>261</v>
      </c>
      <c r="N303" t="s">
        <v>261</v>
      </c>
      <c r="O303" t="s">
        <v>261</v>
      </c>
      <c r="P303" t="s">
        <v>261</v>
      </c>
      <c r="Q303" t="s">
        <v>261</v>
      </c>
      <c r="R303" t="s">
        <v>261</v>
      </c>
      <c r="S303" t="s">
        <v>261</v>
      </c>
      <c r="T303" t="s">
        <v>261</v>
      </c>
      <c r="U303" t="s">
        <v>261</v>
      </c>
      <c r="V303" t="s">
        <v>261</v>
      </c>
    </row>
    <row r="304" spans="1:22">
      <c r="A304">
        <f t="shared" si="10"/>
        <v>303</v>
      </c>
      <c r="B304" s="10" t="s">
        <v>1901</v>
      </c>
      <c r="C304" s="6">
        <v>44491</v>
      </c>
      <c r="D304" t="s">
        <v>1902</v>
      </c>
      <c r="E304" t="s">
        <v>1903</v>
      </c>
      <c r="F304" t="s">
        <v>1904</v>
      </c>
      <c r="G304" t="s">
        <v>63</v>
      </c>
      <c r="H304">
        <v>1</v>
      </c>
      <c r="I304" s="8">
        <v>1776.5</v>
      </c>
      <c r="J304" s="8">
        <f t="shared" si="11"/>
        <v>1776.5</v>
      </c>
      <c r="K304" t="s">
        <v>1905</v>
      </c>
      <c r="L304" t="s">
        <v>403</v>
      </c>
      <c r="M304" t="s">
        <v>261</v>
      </c>
      <c r="N304" t="s">
        <v>261</v>
      </c>
      <c r="O304" t="s">
        <v>261</v>
      </c>
      <c r="P304" t="s">
        <v>261</v>
      </c>
      <c r="Q304" t="s">
        <v>261</v>
      </c>
      <c r="R304" t="s">
        <v>261</v>
      </c>
      <c r="S304" t="s">
        <v>261</v>
      </c>
      <c r="T304" t="s">
        <v>261</v>
      </c>
      <c r="U304" t="s">
        <v>261</v>
      </c>
      <c r="V304" t="s">
        <v>261</v>
      </c>
    </row>
    <row r="305" spans="1:21">
      <c r="A305" s="12">
        <f t="shared" si="10"/>
        <v>304</v>
      </c>
      <c r="B305" s="10" t="s">
        <v>2047</v>
      </c>
      <c r="C305" s="6">
        <v>44502</v>
      </c>
      <c r="D305" t="s">
        <v>1906</v>
      </c>
      <c r="E305" t="s">
        <v>1907</v>
      </c>
      <c r="F305" t="s">
        <v>1908</v>
      </c>
      <c r="G305" t="s">
        <v>18</v>
      </c>
      <c r="H305">
        <v>2</v>
      </c>
      <c r="I305" s="8">
        <v>1960.8</v>
      </c>
      <c r="J305" s="8">
        <f t="shared" si="11"/>
        <v>980.4</v>
      </c>
      <c r="K305" t="s">
        <v>643</v>
      </c>
      <c r="L305" t="s">
        <v>2048</v>
      </c>
      <c r="M305" t="s">
        <v>261</v>
      </c>
      <c r="N305" t="s">
        <v>261</v>
      </c>
      <c r="O305" t="s">
        <v>261</v>
      </c>
      <c r="P305" t="s">
        <v>261</v>
      </c>
      <c r="Q305" t="s">
        <v>261</v>
      </c>
      <c r="R305" t="s">
        <v>261</v>
      </c>
      <c r="S305" t="s">
        <v>261</v>
      </c>
      <c r="T305" t="s">
        <v>261</v>
      </c>
      <c r="U305" t="s">
        <v>261</v>
      </c>
    </row>
    <row r="306" spans="1:21">
      <c r="A306">
        <f t="shared" si="10"/>
        <v>305</v>
      </c>
      <c r="B306" s="10" t="s">
        <v>1910</v>
      </c>
      <c r="C306" s="6">
        <v>44502</v>
      </c>
      <c r="D306" t="s">
        <v>1911</v>
      </c>
      <c r="E306" t="s">
        <v>1912</v>
      </c>
      <c r="F306" t="s">
        <v>1913</v>
      </c>
      <c r="G306" t="s">
        <v>18</v>
      </c>
      <c r="H306">
        <v>1</v>
      </c>
      <c r="I306" s="8">
        <v>1077.3</v>
      </c>
      <c r="J306" s="8">
        <f t="shared" si="11"/>
        <v>1077.3</v>
      </c>
      <c r="K306" t="s">
        <v>1914</v>
      </c>
      <c r="L306" t="s">
        <v>1928</v>
      </c>
      <c r="M306" t="s">
        <v>261</v>
      </c>
      <c r="N306" t="s">
        <v>261</v>
      </c>
      <c r="O306" t="s">
        <v>261</v>
      </c>
      <c r="P306" t="s">
        <v>261</v>
      </c>
      <c r="Q306" t="s">
        <v>261</v>
      </c>
      <c r="R306" t="s">
        <v>261</v>
      </c>
      <c r="S306" t="s">
        <v>261</v>
      </c>
      <c r="T306" t="s">
        <v>261</v>
      </c>
      <c r="U306" t="s">
        <v>261</v>
      </c>
    </row>
    <row r="307" spans="1:21">
      <c r="A307">
        <f t="shared" si="10"/>
        <v>306</v>
      </c>
      <c r="B307" s="10" t="s">
        <v>1915</v>
      </c>
      <c r="C307" s="6">
        <v>44503</v>
      </c>
      <c r="D307" t="s">
        <v>1916</v>
      </c>
      <c r="E307" t="s">
        <v>1917</v>
      </c>
      <c r="F307" t="s">
        <v>1918</v>
      </c>
      <c r="G307" t="s">
        <v>18</v>
      </c>
      <c r="H307">
        <v>1</v>
      </c>
      <c r="I307" s="8">
        <v>2896.2</v>
      </c>
      <c r="J307" s="8">
        <f t="shared" si="11"/>
        <v>2896.2</v>
      </c>
      <c r="K307" t="s">
        <v>1919</v>
      </c>
      <c r="L307" t="s">
        <v>1935</v>
      </c>
      <c r="M307" t="s">
        <v>261</v>
      </c>
      <c r="N307" t="s">
        <v>261</v>
      </c>
      <c r="O307" t="s">
        <v>261</v>
      </c>
      <c r="P307" t="s">
        <v>261</v>
      </c>
      <c r="Q307" t="s">
        <v>261</v>
      </c>
      <c r="R307" t="s">
        <v>261</v>
      </c>
      <c r="S307" t="s">
        <v>261</v>
      </c>
      <c r="T307" t="s">
        <v>261</v>
      </c>
      <c r="U307" t="s">
        <v>261</v>
      </c>
    </row>
    <row r="308" spans="1:21">
      <c r="A308">
        <f t="shared" si="10"/>
        <v>307</v>
      </c>
      <c r="B308" s="10" t="s">
        <v>1923</v>
      </c>
      <c r="C308" s="6">
        <v>44490</v>
      </c>
      <c r="D308" t="s">
        <v>1924</v>
      </c>
      <c r="E308" t="s">
        <v>1925</v>
      </c>
      <c r="F308" t="s">
        <v>1926</v>
      </c>
      <c r="G308" t="s">
        <v>18</v>
      </c>
      <c r="H308">
        <v>1</v>
      </c>
      <c r="I308" s="8">
        <v>5520.5</v>
      </c>
      <c r="J308" s="8">
        <f t="shared" si="11"/>
        <v>5520.5</v>
      </c>
      <c r="K308" t="s">
        <v>1927</v>
      </c>
      <c r="L308" t="s">
        <v>1967</v>
      </c>
      <c r="M308" t="s">
        <v>261</v>
      </c>
      <c r="N308" t="s">
        <v>261</v>
      </c>
      <c r="O308" t="s">
        <v>261</v>
      </c>
      <c r="P308" t="s">
        <v>261</v>
      </c>
      <c r="Q308" t="s">
        <v>261</v>
      </c>
      <c r="R308" t="s">
        <v>261</v>
      </c>
      <c r="S308" t="s">
        <v>261</v>
      </c>
      <c r="T308" t="s">
        <v>261</v>
      </c>
      <c r="U308" t="s">
        <v>261</v>
      </c>
    </row>
    <row r="309" spans="1:21">
      <c r="A309" s="18">
        <f t="shared" si="10"/>
        <v>308</v>
      </c>
      <c r="B309" s="10" t="s">
        <v>1929</v>
      </c>
      <c r="C309" s="6">
        <v>44494</v>
      </c>
      <c r="D309" t="s">
        <v>1931</v>
      </c>
      <c r="E309" t="s">
        <v>1930</v>
      </c>
      <c r="F309" t="s">
        <v>1932</v>
      </c>
      <c r="G309" t="s">
        <v>18</v>
      </c>
      <c r="H309">
        <v>1</v>
      </c>
      <c r="I309" s="8">
        <v>2307.0700000000002</v>
      </c>
      <c r="J309" s="8">
        <f t="shared" si="11"/>
        <v>2307.0700000000002</v>
      </c>
      <c r="K309" t="s">
        <v>1933</v>
      </c>
      <c r="L309" t="s">
        <v>1934</v>
      </c>
      <c r="M309" t="s">
        <v>261</v>
      </c>
      <c r="N309" t="s">
        <v>261</v>
      </c>
      <c r="O309" t="s">
        <v>261</v>
      </c>
      <c r="P309" t="s">
        <v>261</v>
      </c>
      <c r="Q309" t="s">
        <v>261</v>
      </c>
      <c r="R309" t="s">
        <v>261</v>
      </c>
      <c r="S309" t="s">
        <v>261</v>
      </c>
      <c r="T309" t="s">
        <v>261</v>
      </c>
      <c r="U309" t="s">
        <v>261</v>
      </c>
    </row>
    <row r="310" spans="1:21">
      <c r="A310">
        <f t="shared" si="10"/>
        <v>309</v>
      </c>
      <c r="B310" s="10" t="s">
        <v>1936</v>
      </c>
      <c r="C310" s="6">
        <v>44505</v>
      </c>
      <c r="D310" t="s">
        <v>1940</v>
      </c>
      <c r="E310" t="s">
        <v>1939</v>
      </c>
      <c r="F310" t="s">
        <v>1937</v>
      </c>
      <c r="G310" t="s">
        <v>18</v>
      </c>
      <c r="H310">
        <v>1</v>
      </c>
      <c r="I310" s="8">
        <v>1282.5</v>
      </c>
      <c r="J310" s="8">
        <f t="shared" si="11"/>
        <v>1282.5</v>
      </c>
      <c r="K310" t="s">
        <v>1938</v>
      </c>
      <c r="L310" t="s">
        <v>1946</v>
      </c>
      <c r="M310" t="s">
        <v>261</v>
      </c>
      <c r="N310" t="s">
        <v>261</v>
      </c>
      <c r="O310" t="s">
        <v>261</v>
      </c>
      <c r="P310" t="s">
        <v>261</v>
      </c>
      <c r="Q310" t="s">
        <v>261</v>
      </c>
      <c r="R310" t="s">
        <v>261</v>
      </c>
      <c r="S310" t="s">
        <v>261</v>
      </c>
      <c r="T310" t="s">
        <v>261</v>
      </c>
      <c r="U310" t="s">
        <v>261</v>
      </c>
    </row>
    <row r="311" spans="1:21">
      <c r="A311">
        <f t="shared" si="10"/>
        <v>310</v>
      </c>
      <c r="B311" s="10" t="s">
        <v>1941</v>
      </c>
      <c r="C311" s="6">
        <v>44505</v>
      </c>
      <c r="D311" t="s">
        <v>1942</v>
      </c>
      <c r="E311" t="s">
        <v>1943</v>
      </c>
      <c r="F311" t="s">
        <v>1944</v>
      </c>
      <c r="G311" t="s">
        <v>18</v>
      </c>
      <c r="H311">
        <v>1</v>
      </c>
      <c r="I311" s="8">
        <v>1775.55</v>
      </c>
      <c r="J311" s="8">
        <f t="shared" si="11"/>
        <v>1775.55</v>
      </c>
      <c r="K311" t="s">
        <v>1945</v>
      </c>
      <c r="L311" t="s">
        <v>1968</v>
      </c>
      <c r="M311" t="s">
        <v>261</v>
      </c>
      <c r="N311" t="s">
        <v>261</v>
      </c>
      <c r="O311" t="s">
        <v>261</v>
      </c>
      <c r="P311" t="s">
        <v>261</v>
      </c>
      <c r="Q311" t="s">
        <v>261</v>
      </c>
      <c r="R311" t="s">
        <v>261</v>
      </c>
      <c r="S311" t="s">
        <v>261</v>
      </c>
      <c r="T311" t="s">
        <v>261</v>
      </c>
      <c r="U311" t="s">
        <v>261</v>
      </c>
    </row>
    <row r="312" spans="1:21">
      <c r="A312">
        <f t="shared" si="10"/>
        <v>311</v>
      </c>
      <c r="B312" s="10" t="s">
        <v>1962</v>
      </c>
      <c r="C312" s="6">
        <v>44508</v>
      </c>
      <c r="D312" t="s">
        <v>1963</v>
      </c>
      <c r="E312" t="s">
        <v>1964</v>
      </c>
      <c r="F312" t="s">
        <v>1965</v>
      </c>
      <c r="G312" t="s">
        <v>18</v>
      </c>
      <c r="H312">
        <v>1</v>
      </c>
      <c r="I312" s="8">
        <v>1259.0999999999999</v>
      </c>
      <c r="J312" s="8">
        <f t="shared" si="11"/>
        <v>1259.0999999999999</v>
      </c>
      <c r="K312" t="s">
        <v>1966</v>
      </c>
      <c r="L312" t="s">
        <v>681</v>
      </c>
      <c r="M312" t="s">
        <v>261</v>
      </c>
      <c r="N312" t="s">
        <v>261</v>
      </c>
      <c r="O312" t="s">
        <v>261</v>
      </c>
      <c r="P312" t="s">
        <v>261</v>
      </c>
      <c r="Q312" t="s">
        <v>261</v>
      </c>
      <c r="R312" t="s">
        <v>261</v>
      </c>
      <c r="S312" t="s">
        <v>261</v>
      </c>
      <c r="T312" t="s">
        <v>261</v>
      </c>
      <c r="U312" t="s">
        <v>261</v>
      </c>
    </row>
    <row r="313" spans="1:21">
      <c r="A313">
        <f t="shared" si="10"/>
        <v>312</v>
      </c>
      <c r="B313" s="10" t="s">
        <v>1969</v>
      </c>
      <c r="C313" s="6">
        <v>44508</v>
      </c>
      <c r="D313" t="s">
        <v>1970</v>
      </c>
      <c r="E313" t="s">
        <v>1971</v>
      </c>
      <c r="F313" t="s">
        <v>1972</v>
      </c>
      <c r="G313" t="s">
        <v>18</v>
      </c>
      <c r="H313">
        <v>1</v>
      </c>
      <c r="I313" s="8">
        <v>1290</v>
      </c>
      <c r="J313" s="8">
        <f t="shared" si="11"/>
        <v>1290</v>
      </c>
      <c r="K313" t="s">
        <v>1973</v>
      </c>
      <c r="L313" t="s">
        <v>1974</v>
      </c>
      <c r="M313" t="s">
        <v>261</v>
      </c>
      <c r="N313" t="s">
        <v>261</v>
      </c>
      <c r="O313" t="s">
        <v>261</v>
      </c>
      <c r="P313" t="s">
        <v>261</v>
      </c>
      <c r="Q313" t="s">
        <v>261</v>
      </c>
      <c r="R313" t="s">
        <v>261</v>
      </c>
      <c r="S313" t="s">
        <v>261</v>
      </c>
      <c r="T313" t="s">
        <v>261</v>
      </c>
      <c r="U313" t="s">
        <v>261</v>
      </c>
    </row>
    <row r="314" spans="1:21">
      <c r="A314">
        <f t="shared" si="10"/>
        <v>313</v>
      </c>
      <c r="B314" s="10" t="s">
        <v>1975</v>
      </c>
      <c r="C314" s="6">
        <v>44509</v>
      </c>
      <c r="D314" t="s">
        <v>1976</v>
      </c>
      <c r="E314" t="s">
        <v>1977</v>
      </c>
      <c r="F314" t="s">
        <v>1978</v>
      </c>
      <c r="G314" t="s">
        <v>18</v>
      </c>
      <c r="H314">
        <v>1</v>
      </c>
      <c r="I314" s="8">
        <v>819</v>
      </c>
      <c r="J314" s="8">
        <f t="shared" si="11"/>
        <v>819</v>
      </c>
      <c r="K314" t="s">
        <v>1979</v>
      </c>
      <c r="L314" t="s">
        <v>1980</v>
      </c>
      <c r="M314" t="s">
        <v>261</v>
      </c>
      <c r="N314" t="s">
        <v>261</v>
      </c>
      <c r="O314" t="s">
        <v>261</v>
      </c>
      <c r="P314" t="s">
        <v>261</v>
      </c>
      <c r="Q314" t="s">
        <v>261</v>
      </c>
      <c r="R314" t="s">
        <v>261</v>
      </c>
      <c r="S314" t="s">
        <v>261</v>
      </c>
      <c r="T314" t="s">
        <v>261</v>
      </c>
      <c r="U314" t="s">
        <v>261</v>
      </c>
    </row>
    <row r="315" spans="1:21">
      <c r="A315">
        <f t="shared" si="10"/>
        <v>314</v>
      </c>
      <c r="B315" s="103" t="s">
        <v>1981</v>
      </c>
      <c r="C315" s="6">
        <v>44509</v>
      </c>
      <c r="D315" t="s">
        <v>2139</v>
      </c>
      <c r="E315" t="s">
        <v>1982</v>
      </c>
      <c r="F315" t="s">
        <v>1983</v>
      </c>
      <c r="G315" t="s">
        <v>18</v>
      </c>
      <c r="H315">
        <v>1</v>
      </c>
      <c r="I315" s="8">
        <v>2842.4</v>
      </c>
      <c r="J315" s="8">
        <f t="shared" si="11"/>
        <v>2842.4</v>
      </c>
      <c r="K315" t="s">
        <v>175</v>
      </c>
      <c r="L315" t="s">
        <v>38</v>
      </c>
      <c r="M315" t="s">
        <v>261</v>
      </c>
      <c r="N315" t="s">
        <v>261</v>
      </c>
      <c r="O315" t="s">
        <v>261</v>
      </c>
      <c r="P315" t="s">
        <v>261</v>
      </c>
      <c r="Q315" t="s">
        <v>261</v>
      </c>
      <c r="R315" t="s">
        <v>261</v>
      </c>
      <c r="S315" t="s">
        <v>261</v>
      </c>
      <c r="T315" t="s">
        <v>261</v>
      </c>
      <c r="U315" t="s">
        <v>261</v>
      </c>
    </row>
    <row r="316" spans="1:21">
      <c r="A316">
        <f t="shared" si="10"/>
        <v>315</v>
      </c>
      <c r="B316" s="10" t="s">
        <v>1984</v>
      </c>
      <c r="C316" s="6">
        <v>44502</v>
      </c>
      <c r="D316" t="s">
        <v>1985</v>
      </c>
      <c r="E316" t="s">
        <v>1986</v>
      </c>
      <c r="F316" t="s">
        <v>1987</v>
      </c>
      <c r="G316" t="s">
        <v>18</v>
      </c>
      <c r="H316">
        <v>1</v>
      </c>
      <c r="I316" s="8">
        <v>1260</v>
      </c>
      <c r="J316" s="8">
        <f t="shared" si="11"/>
        <v>1260</v>
      </c>
      <c r="K316" t="s">
        <v>1988</v>
      </c>
      <c r="L316" t="s">
        <v>2001</v>
      </c>
      <c r="M316" t="s">
        <v>261</v>
      </c>
      <c r="N316" t="s">
        <v>261</v>
      </c>
      <c r="O316" t="s">
        <v>261</v>
      </c>
      <c r="P316" t="s">
        <v>261</v>
      </c>
      <c r="Q316" t="s">
        <v>261</v>
      </c>
      <c r="R316" t="s">
        <v>261</v>
      </c>
      <c r="S316" t="s">
        <v>261</v>
      </c>
      <c r="T316" t="s">
        <v>261</v>
      </c>
      <c r="U316" t="s">
        <v>261</v>
      </c>
    </row>
    <row r="317" spans="1:21">
      <c r="A317">
        <f t="shared" si="10"/>
        <v>316</v>
      </c>
      <c r="B317" s="10" t="s">
        <v>1989</v>
      </c>
      <c r="C317" s="6">
        <v>44510</v>
      </c>
      <c r="D317" t="s">
        <v>1990</v>
      </c>
      <c r="E317" t="s">
        <v>1991</v>
      </c>
      <c r="F317" t="s">
        <v>1992</v>
      </c>
      <c r="G317" t="s">
        <v>63</v>
      </c>
      <c r="H317">
        <v>1</v>
      </c>
      <c r="I317" s="8">
        <v>1533.6</v>
      </c>
      <c r="J317" s="8">
        <f t="shared" si="11"/>
        <v>1533.6</v>
      </c>
      <c r="K317" t="s">
        <v>1993</v>
      </c>
      <c r="L317" t="s">
        <v>341</v>
      </c>
      <c r="M317" t="s">
        <v>261</v>
      </c>
      <c r="N317" t="s">
        <v>261</v>
      </c>
      <c r="O317" t="s">
        <v>261</v>
      </c>
      <c r="P317" t="s">
        <v>261</v>
      </c>
      <c r="Q317" t="s">
        <v>261</v>
      </c>
      <c r="R317" t="s">
        <v>261</v>
      </c>
      <c r="S317" t="s">
        <v>261</v>
      </c>
      <c r="T317" t="s">
        <v>261</v>
      </c>
      <c r="U317" t="s">
        <v>261</v>
      </c>
    </row>
    <row r="318" spans="1:21">
      <c r="A318">
        <f>+A317+1</f>
        <v>317</v>
      </c>
      <c r="B318" s="10" t="s">
        <v>1996</v>
      </c>
      <c r="C318" s="6">
        <v>44502</v>
      </c>
      <c r="D318" t="s">
        <v>1997</v>
      </c>
      <c r="E318" t="s">
        <v>1998</v>
      </c>
      <c r="F318" t="s">
        <v>1999</v>
      </c>
      <c r="G318" t="s">
        <v>18</v>
      </c>
      <c r="H318">
        <v>1</v>
      </c>
      <c r="I318" s="8">
        <v>928</v>
      </c>
      <c r="J318" s="8">
        <f t="shared" si="11"/>
        <v>928</v>
      </c>
      <c r="K318" t="s">
        <v>2000</v>
      </c>
      <c r="L318" t="s">
        <v>2041</v>
      </c>
      <c r="M318" t="s">
        <v>261</v>
      </c>
      <c r="N318" t="s">
        <v>261</v>
      </c>
      <c r="O318" t="s">
        <v>261</v>
      </c>
      <c r="P318" t="s">
        <v>261</v>
      </c>
      <c r="Q318" t="s">
        <v>261</v>
      </c>
      <c r="R318" t="s">
        <v>261</v>
      </c>
      <c r="S318" t="s">
        <v>261</v>
      </c>
      <c r="T318" t="s">
        <v>261</v>
      </c>
      <c r="U318" t="s">
        <v>261</v>
      </c>
    </row>
    <row r="319" spans="1:21">
      <c r="A319">
        <f t="shared" si="10"/>
        <v>318</v>
      </c>
      <c r="B319" s="10" t="s">
        <v>2036</v>
      </c>
      <c r="C319" s="6">
        <v>44516</v>
      </c>
      <c r="D319" t="s">
        <v>2037</v>
      </c>
      <c r="E319" t="s">
        <v>2038</v>
      </c>
      <c r="F319" t="s">
        <v>2039</v>
      </c>
      <c r="G319" t="s">
        <v>18</v>
      </c>
      <c r="H319">
        <v>1</v>
      </c>
      <c r="I319" s="8">
        <v>990</v>
      </c>
      <c r="J319" s="8">
        <f t="shared" si="11"/>
        <v>990</v>
      </c>
      <c r="K319" t="s">
        <v>2040</v>
      </c>
      <c r="L319" t="s">
        <v>403</v>
      </c>
      <c r="M319" t="s">
        <v>261</v>
      </c>
      <c r="N319" t="s">
        <v>261</v>
      </c>
      <c r="O319" t="s">
        <v>261</v>
      </c>
      <c r="P319" t="s">
        <v>261</v>
      </c>
      <c r="Q319" t="s">
        <v>261</v>
      </c>
      <c r="R319" t="s">
        <v>261</v>
      </c>
      <c r="S319" t="s">
        <v>261</v>
      </c>
      <c r="T319" t="s">
        <v>261</v>
      </c>
      <c r="U319" t="s">
        <v>261</v>
      </c>
    </row>
    <row r="320" spans="1:21">
      <c r="A320">
        <f t="shared" si="10"/>
        <v>319</v>
      </c>
      <c r="B320" s="10" t="s">
        <v>2042</v>
      </c>
      <c r="C320" s="6">
        <v>44513</v>
      </c>
      <c r="D320" t="s">
        <v>2043</v>
      </c>
      <c r="E320" t="s">
        <v>2044</v>
      </c>
      <c r="F320" t="s">
        <v>2045</v>
      </c>
      <c r="G320" t="s">
        <v>18</v>
      </c>
      <c r="H320">
        <v>1</v>
      </c>
      <c r="I320" s="8">
        <v>1093.6400000000001</v>
      </c>
      <c r="J320" s="8">
        <f t="shared" si="11"/>
        <v>1093.6400000000001</v>
      </c>
      <c r="K320" t="s">
        <v>2046</v>
      </c>
      <c r="L320" t="s">
        <v>2054</v>
      </c>
      <c r="M320" t="s">
        <v>261</v>
      </c>
      <c r="N320" t="s">
        <v>261</v>
      </c>
      <c r="O320" t="s">
        <v>261</v>
      </c>
      <c r="P320" t="s">
        <v>261</v>
      </c>
      <c r="Q320" t="s">
        <v>261</v>
      </c>
      <c r="R320" t="s">
        <v>261</v>
      </c>
      <c r="S320" t="s">
        <v>261</v>
      </c>
      <c r="T320" t="s">
        <v>261</v>
      </c>
      <c r="U320" t="s">
        <v>261</v>
      </c>
    </row>
    <row r="321" spans="1:21">
      <c r="A321">
        <f t="shared" si="10"/>
        <v>320</v>
      </c>
      <c r="B321" s="10" t="s">
        <v>2049</v>
      </c>
      <c r="C321" s="6">
        <v>44517</v>
      </c>
      <c r="D321" t="s">
        <v>2050</v>
      </c>
      <c r="E321" t="s">
        <v>2051</v>
      </c>
      <c r="F321" t="s">
        <v>2052</v>
      </c>
      <c r="G321" t="s">
        <v>18</v>
      </c>
      <c r="H321">
        <v>1</v>
      </c>
      <c r="I321" s="8">
        <v>1010.8</v>
      </c>
      <c r="J321" s="8">
        <f t="shared" si="11"/>
        <v>1010.8</v>
      </c>
      <c r="K321" t="s">
        <v>2053</v>
      </c>
      <c r="L321" t="s">
        <v>792</v>
      </c>
      <c r="M321" t="s">
        <v>261</v>
      </c>
      <c r="N321" t="s">
        <v>261</v>
      </c>
      <c r="O321" t="s">
        <v>261</v>
      </c>
      <c r="P321" t="s">
        <v>261</v>
      </c>
      <c r="Q321" t="s">
        <v>261</v>
      </c>
      <c r="R321" t="s">
        <v>261</v>
      </c>
      <c r="S321" t="s">
        <v>261</v>
      </c>
      <c r="T321" t="s">
        <v>261</v>
      </c>
      <c r="U321" t="s">
        <v>261</v>
      </c>
    </row>
    <row r="322" spans="1:21">
      <c r="A322">
        <f t="shared" si="10"/>
        <v>321</v>
      </c>
      <c r="B322" s="10" t="s">
        <v>2055</v>
      </c>
      <c r="C322" s="6">
        <v>44510</v>
      </c>
      <c r="D322" t="s">
        <v>2056</v>
      </c>
      <c r="E322" t="s">
        <v>2057</v>
      </c>
      <c r="F322" t="s">
        <v>2058</v>
      </c>
      <c r="G322" t="s">
        <v>18</v>
      </c>
      <c r="H322">
        <v>1</v>
      </c>
      <c r="I322" s="8">
        <v>917.5</v>
      </c>
      <c r="J322" s="8">
        <f t="shared" si="11"/>
        <v>917.5</v>
      </c>
      <c r="K322" t="s">
        <v>2059</v>
      </c>
      <c r="L322" t="s">
        <v>403</v>
      </c>
      <c r="M322" t="s">
        <v>261</v>
      </c>
      <c r="N322" t="s">
        <v>261</v>
      </c>
      <c r="O322" t="s">
        <v>261</v>
      </c>
      <c r="P322" t="s">
        <v>261</v>
      </c>
      <c r="Q322" t="s">
        <v>261</v>
      </c>
      <c r="R322" t="s">
        <v>261</v>
      </c>
      <c r="S322" t="s">
        <v>261</v>
      </c>
      <c r="T322" t="s">
        <v>261</v>
      </c>
      <c r="U322" t="s">
        <v>261</v>
      </c>
    </row>
    <row r="323" spans="1:21">
      <c r="A323" s="14">
        <f t="shared" si="10"/>
        <v>322</v>
      </c>
      <c r="B323" s="10" t="s">
        <v>2060</v>
      </c>
      <c r="C323" s="6">
        <v>44503</v>
      </c>
      <c r="D323" t="s">
        <v>2061</v>
      </c>
      <c r="E323" t="s">
        <v>2062</v>
      </c>
      <c r="F323" t="s">
        <v>2063</v>
      </c>
      <c r="G323" t="s">
        <v>18</v>
      </c>
      <c r="H323">
        <v>1</v>
      </c>
      <c r="I323" s="8">
        <v>2055</v>
      </c>
      <c r="J323" s="8">
        <f t="shared" ref="J323:J376" si="12">+I323/H323</f>
        <v>2055</v>
      </c>
      <c r="K323" t="s">
        <v>2064</v>
      </c>
      <c r="L323" t="s">
        <v>2065</v>
      </c>
      <c r="M323" t="s">
        <v>261</v>
      </c>
      <c r="N323" t="s">
        <v>261</v>
      </c>
      <c r="O323" t="s">
        <v>261</v>
      </c>
      <c r="P323" t="s">
        <v>261</v>
      </c>
      <c r="Q323" t="s">
        <v>261</v>
      </c>
      <c r="R323" t="s">
        <v>261</v>
      </c>
      <c r="S323" t="s">
        <v>261</v>
      </c>
      <c r="T323" t="s">
        <v>261</v>
      </c>
      <c r="U323" t="s">
        <v>261</v>
      </c>
    </row>
    <row r="324" spans="1:21">
      <c r="A324">
        <f t="shared" si="10"/>
        <v>323</v>
      </c>
      <c r="B324" s="10" t="s">
        <v>2066</v>
      </c>
      <c r="C324" s="6">
        <v>44513</v>
      </c>
      <c r="D324" t="s">
        <v>2067</v>
      </c>
      <c r="E324" t="s">
        <v>2068</v>
      </c>
      <c r="F324" t="s">
        <v>2069</v>
      </c>
      <c r="G324" t="s">
        <v>18</v>
      </c>
      <c r="H324">
        <v>1</v>
      </c>
      <c r="I324" s="8">
        <v>1082.43</v>
      </c>
      <c r="J324" s="8">
        <f t="shared" si="12"/>
        <v>1082.43</v>
      </c>
      <c r="K324" t="s">
        <v>2070</v>
      </c>
      <c r="L324" t="s">
        <v>2071</v>
      </c>
      <c r="M324" t="s">
        <v>261</v>
      </c>
      <c r="N324" t="s">
        <v>261</v>
      </c>
      <c r="O324" t="s">
        <v>261</v>
      </c>
      <c r="P324" t="s">
        <v>261</v>
      </c>
      <c r="Q324" t="s">
        <v>261</v>
      </c>
      <c r="R324" t="s">
        <v>261</v>
      </c>
      <c r="S324" t="s">
        <v>261</v>
      </c>
      <c r="T324" t="s">
        <v>261</v>
      </c>
      <c r="U324" t="s">
        <v>261</v>
      </c>
    </row>
    <row r="325" spans="1:21">
      <c r="A325">
        <f t="shared" ref="A325:A388" si="13">+A324+1</f>
        <v>324</v>
      </c>
      <c r="B325" s="10" t="s">
        <v>1847</v>
      </c>
      <c r="C325" s="6">
        <v>44516</v>
      </c>
      <c r="D325" s="6" t="s">
        <v>2072</v>
      </c>
      <c r="E325" t="s">
        <v>2073</v>
      </c>
      <c r="F325" t="s">
        <v>2074</v>
      </c>
      <c r="G325" t="s">
        <v>18</v>
      </c>
      <c r="H325">
        <v>1</v>
      </c>
      <c r="I325" s="8">
        <v>868.35</v>
      </c>
      <c r="J325" s="8">
        <f t="shared" si="12"/>
        <v>868.35</v>
      </c>
      <c r="K325" t="s">
        <v>2075</v>
      </c>
      <c r="L325" t="s">
        <v>2085</v>
      </c>
      <c r="M325" t="s">
        <v>261</v>
      </c>
      <c r="N325" t="s">
        <v>261</v>
      </c>
      <c r="O325" t="s">
        <v>261</v>
      </c>
      <c r="P325" t="s">
        <v>261</v>
      </c>
      <c r="Q325" t="s">
        <v>261</v>
      </c>
      <c r="R325" t="s">
        <v>261</v>
      </c>
      <c r="S325" t="s">
        <v>261</v>
      </c>
      <c r="T325" t="s">
        <v>261</v>
      </c>
      <c r="U325" t="s">
        <v>261</v>
      </c>
    </row>
    <row r="326" spans="1:21">
      <c r="A326">
        <f t="shared" si="13"/>
        <v>325</v>
      </c>
      <c r="B326" s="10" t="s">
        <v>2076</v>
      </c>
      <c r="C326" s="6">
        <v>44519</v>
      </c>
      <c r="D326" t="s">
        <v>2077</v>
      </c>
      <c r="F326" t="s">
        <v>2078</v>
      </c>
      <c r="G326" t="s">
        <v>719</v>
      </c>
      <c r="H326">
        <v>1</v>
      </c>
      <c r="I326" s="8">
        <v>1207</v>
      </c>
      <c r="J326" s="8">
        <f t="shared" si="12"/>
        <v>1207</v>
      </c>
      <c r="K326" t="s">
        <v>2079</v>
      </c>
      <c r="L326" t="s">
        <v>38</v>
      </c>
      <c r="M326" t="s">
        <v>261</v>
      </c>
      <c r="N326" t="s">
        <v>261</v>
      </c>
      <c r="O326" t="s">
        <v>261</v>
      </c>
      <c r="P326" t="s">
        <v>261</v>
      </c>
      <c r="Q326" t="s">
        <v>261</v>
      </c>
      <c r="R326" t="s">
        <v>261</v>
      </c>
      <c r="S326" t="s">
        <v>261</v>
      </c>
      <c r="T326" t="s">
        <v>261</v>
      </c>
      <c r="U326" t="s">
        <v>261</v>
      </c>
    </row>
    <row r="327" spans="1:21">
      <c r="A327">
        <f t="shared" si="13"/>
        <v>326</v>
      </c>
      <c r="B327" s="10" t="s">
        <v>2080</v>
      </c>
      <c r="C327" s="6">
        <v>44510</v>
      </c>
      <c r="D327" t="s">
        <v>2081</v>
      </c>
      <c r="E327" t="s">
        <v>2082</v>
      </c>
      <c r="F327" t="s">
        <v>2083</v>
      </c>
      <c r="G327" t="s">
        <v>18</v>
      </c>
      <c r="H327">
        <v>1</v>
      </c>
      <c r="I327" s="8">
        <v>968.81</v>
      </c>
      <c r="J327" s="8">
        <f t="shared" si="12"/>
        <v>968.81</v>
      </c>
      <c r="K327" t="s">
        <v>2084</v>
      </c>
      <c r="L327" t="s">
        <v>2095</v>
      </c>
      <c r="M327" t="s">
        <v>261</v>
      </c>
      <c r="N327" t="s">
        <v>261</v>
      </c>
      <c r="O327" t="s">
        <v>261</v>
      </c>
      <c r="P327" t="s">
        <v>261</v>
      </c>
      <c r="Q327" t="s">
        <v>261</v>
      </c>
      <c r="R327" t="s">
        <v>261</v>
      </c>
      <c r="S327" t="s">
        <v>261</v>
      </c>
      <c r="T327" t="s">
        <v>261</v>
      </c>
      <c r="U327" t="s">
        <v>261</v>
      </c>
    </row>
    <row r="328" spans="1:21">
      <c r="A328" s="12">
        <f t="shared" si="13"/>
        <v>327</v>
      </c>
      <c r="B328" s="10" t="s">
        <v>2189</v>
      </c>
      <c r="C328" s="6">
        <v>44522</v>
      </c>
      <c r="D328" t="s">
        <v>2086</v>
      </c>
      <c r="E328" t="s">
        <v>2087</v>
      </c>
      <c r="F328" t="s">
        <v>2088</v>
      </c>
      <c r="G328" t="s">
        <v>18</v>
      </c>
      <c r="H328">
        <v>3</v>
      </c>
      <c r="I328" s="8">
        <v>7602.3</v>
      </c>
      <c r="J328" s="8">
        <f t="shared" si="12"/>
        <v>2534.1</v>
      </c>
      <c r="K328" t="s">
        <v>2190</v>
      </c>
      <c r="M328" t="s">
        <v>261</v>
      </c>
      <c r="N328" t="s">
        <v>261</v>
      </c>
      <c r="O328" t="s">
        <v>261</v>
      </c>
      <c r="P328" t="s">
        <v>261</v>
      </c>
      <c r="Q328" t="s">
        <v>261</v>
      </c>
      <c r="R328" t="s">
        <v>261</v>
      </c>
      <c r="S328" t="s">
        <v>261</v>
      </c>
      <c r="T328" t="s">
        <v>261</v>
      </c>
      <c r="U328" t="s">
        <v>261</v>
      </c>
    </row>
    <row r="329" spans="1:21">
      <c r="A329" s="12">
        <f t="shared" si="13"/>
        <v>328</v>
      </c>
      <c r="B329" s="10" t="s">
        <v>2419</v>
      </c>
      <c r="C329" s="6">
        <v>44526</v>
      </c>
      <c r="D329" t="s">
        <v>2092</v>
      </c>
      <c r="E329" t="s">
        <v>2093</v>
      </c>
      <c r="F329" t="s">
        <v>2094</v>
      </c>
      <c r="G329" t="s">
        <v>18</v>
      </c>
      <c r="H329">
        <v>3</v>
      </c>
      <c r="I329" s="8">
        <v>4838.8</v>
      </c>
      <c r="J329" s="8">
        <f t="shared" si="12"/>
        <v>1612.9333333333334</v>
      </c>
      <c r="K329" t="s">
        <v>2181</v>
      </c>
      <c r="L329" t="s">
        <v>20</v>
      </c>
      <c r="M329" t="s">
        <v>261</v>
      </c>
      <c r="N329" t="s">
        <v>261</v>
      </c>
      <c r="O329" t="s">
        <v>261</v>
      </c>
      <c r="P329" t="s">
        <v>261</v>
      </c>
      <c r="Q329" t="s">
        <v>261</v>
      </c>
      <c r="R329" t="s">
        <v>261</v>
      </c>
      <c r="S329" t="s">
        <v>261</v>
      </c>
      <c r="T329" t="s">
        <v>261</v>
      </c>
      <c r="U329" t="s">
        <v>261</v>
      </c>
    </row>
    <row r="330" spans="1:21">
      <c r="A330" s="12">
        <f t="shared" si="13"/>
        <v>329</v>
      </c>
      <c r="B330" s="10" t="s">
        <v>2110</v>
      </c>
      <c r="C330" s="6">
        <v>44526</v>
      </c>
      <c r="D330" t="s">
        <v>2096</v>
      </c>
      <c r="E330" t="s">
        <v>2097</v>
      </c>
      <c r="F330" t="s">
        <v>2098</v>
      </c>
      <c r="G330" t="s">
        <v>18</v>
      </c>
      <c r="H330">
        <v>2</v>
      </c>
      <c r="I330" s="8">
        <v>3248.2</v>
      </c>
      <c r="J330" s="8">
        <f t="shared" si="12"/>
        <v>1624.1</v>
      </c>
      <c r="K330" t="s">
        <v>2111</v>
      </c>
      <c r="L330" t="s">
        <v>2112</v>
      </c>
      <c r="M330" t="s">
        <v>261</v>
      </c>
      <c r="N330" t="s">
        <v>261</v>
      </c>
      <c r="O330" t="s">
        <v>261</v>
      </c>
      <c r="P330" t="s">
        <v>261</v>
      </c>
      <c r="Q330" t="s">
        <v>261</v>
      </c>
      <c r="R330" t="s">
        <v>261</v>
      </c>
      <c r="S330" t="s">
        <v>261</v>
      </c>
      <c r="T330" t="s">
        <v>261</v>
      </c>
      <c r="U330" t="s">
        <v>261</v>
      </c>
    </row>
    <row r="331" spans="1:21">
      <c r="A331">
        <f t="shared" si="13"/>
        <v>330</v>
      </c>
      <c r="B331" s="103" t="s">
        <v>2099</v>
      </c>
      <c r="C331" s="6">
        <v>44527</v>
      </c>
      <c r="D331" t="s">
        <v>2100</v>
      </c>
      <c r="E331" t="s">
        <v>2101</v>
      </c>
      <c r="F331" t="s">
        <v>2102</v>
      </c>
      <c r="G331" t="s">
        <v>18</v>
      </c>
      <c r="H331">
        <v>1</v>
      </c>
      <c r="I331" s="8">
        <v>1170.32</v>
      </c>
      <c r="J331" s="8">
        <f t="shared" si="12"/>
        <v>1170.32</v>
      </c>
      <c r="K331" t="s">
        <v>2103</v>
      </c>
      <c r="L331" t="s">
        <v>2128</v>
      </c>
      <c r="M331" t="s">
        <v>261</v>
      </c>
      <c r="N331" t="s">
        <v>261</v>
      </c>
      <c r="O331" t="s">
        <v>261</v>
      </c>
      <c r="P331" t="s">
        <v>261</v>
      </c>
      <c r="Q331" t="s">
        <v>261</v>
      </c>
      <c r="R331" t="s">
        <v>261</v>
      </c>
      <c r="S331" t="s">
        <v>261</v>
      </c>
      <c r="T331" t="s">
        <v>261</v>
      </c>
      <c r="U331" t="s">
        <v>261</v>
      </c>
    </row>
    <row r="332" spans="1:21">
      <c r="A332">
        <f t="shared" si="13"/>
        <v>331</v>
      </c>
      <c r="B332" s="10" t="s">
        <v>2104</v>
      </c>
      <c r="C332" s="6">
        <v>44527</v>
      </c>
      <c r="D332" t="s">
        <v>2105</v>
      </c>
      <c r="E332" t="s">
        <v>2106</v>
      </c>
      <c r="F332" t="s">
        <v>2107</v>
      </c>
      <c r="G332" t="s">
        <v>18</v>
      </c>
      <c r="H332">
        <v>1</v>
      </c>
      <c r="I332" s="8">
        <v>1134</v>
      </c>
      <c r="J332" s="8">
        <f t="shared" si="12"/>
        <v>1134</v>
      </c>
      <c r="K332" t="s">
        <v>2108</v>
      </c>
      <c r="L332" t="s">
        <v>2109</v>
      </c>
      <c r="M332" t="s">
        <v>261</v>
      </c>
      <c r="N332" t="s">
        <v>261</v>
      </c>
      <c r="O332" t="s">
        <v>261</v>
      </c>
      <c r="P332" t="s">
        <v>261</v>
      </c>
      <c r="Q332" t="s">
        <v>261</v>
      </c>
      <c r="R332" t="s">
        <v>261</v>
      </c>
      <c r="S332" t="s">
        <v>261</v>
      </c>
      <c r="T332" t="s">
        <v>261</v>
      </c>
      <c r="U332" t="s">
        <v>261</v>
      </c>
    </row>
    <row r="333" spans="1:21">
      <c r="A333">
        <f t="shared" si="13"/>
        <v>332</v>
      </c>
      <c r="B333" s="10" t="s">
        <v>2113</v>
      </c>
      <c r="C333" s="6">
        <v>44529</v>
      </c>
      <c r="D333" t="s">
        <v>2114</v>
      </c>
      <c r="E333" t="s">
        <v>2115</v>
      </c>
      <c r="F333" t="s">
        <v>2116</v>
      </c>
      <c r="G333" t="s">
        <v>18</v>
      </c>
      <c r="H333">
        <v>1</v>
      </c>
      <c r="I333" s="8">
        <v>1038.5</v>
      </c>
      <c r="J333" s="8">
        <f t="shared" si="12"/>
        <v>1038.5</v>
      </c>
      <c r="K333" t="s">
        <v>2117</v>
      </c>
      <c r="L333" t="s">
        <v>2129</v>
      </c>
      <c r="M333" t="s">
        <v>261</v>
      </c>
      <c r="N333" t="s">
        <v>261</v>
      </c>
      <c r="O333" t="s">
        <v>261</v>
      </c>
      <c r="P333" t="s">
        <v>261</v>
      </c>
      <c r="Q333" t="s">
        <v>261</v>
      </c>
      <c r="R333" t="s">
        <v>261</v>
      </c>
      <c r="S333" t="s">
        <v>261</v>
      </c>
      <c r="T333" t="s">
        <v>261</v>
      </c>
      <c r="U333" t="s">
        <v>261</v>
      </c>
    </row>
    <row r="334" spans="1:21">
      <c r="A334" s="18">
        <f t="shared" si="13"/>
        <v>333</v>
      </c>
      <c r="B334" s="10" t="s">
        <v>2118</v>
      </c>
      <c r="C334" s="6">
        <v>44529</v>
      </c>
      <c r="D334" t="s">
        <v>2119</v>
      </c>
      <c r="E334" t="s">
        <v>2120</v>
      </c>
      <c r="F334" t="s">
        <v>2121</v>
      </c>
      <c r="G334" t="s">
        <v>18</v>
      </c>
      <c r="H334">
        <v>1</v>
      </c>
      <c r="I334" s="8">
        <v>1831.52</v>
      </c>
      <c r="J334" s="8">
        <f t="shared" si="12"/>
        <v>1831.52</v>
      </c>
      <c r="K334" t="s">
        <v>2122</v>
      </c>
      <c r="L334" t="s">
        <v>792</v>
      </c>
      <c r="M334" t="s">
        <v>261</v>
      </c>
      <c r="N334" t="s">
        <v>261</v>
      </c>
      <c r="O334" t="s">
        <v>261</v>
      </c>
      <c r="P334" t="s">
        <v>261</v>
      </c>
      <c r="Q334" t="s">
        <v>261</v>
      </c>
      <c r="R334" t="s">
        <v>261</v>
      </c>
      <c r="S334" t="s">
        <v>261</v>
      </c>
      <c r="T334" t="s">
        <v>261</v>
      </c>
      <c r="U334" t="s">
        <v>261</v>
      </c>
    </row>
    <row r="335" spans="1:21">
      <c r="A335">
        <f t="shared" si="13"/>
        <v>334</v>
      </c>
      <c r="B335" s="10" t="s">
        <v>2123</v>
      </c>
      <c r="C335" s="6">
        <v>44530</v>
      </c>
      <c r="D335" t="s">
        <v>2124</v>
      </c>
      <c r="E335" t="s">
        <v>2125</v>
      </c>
      <c r="F335" t="s">
        <v>2126</v>
      </c>
      <c r="G335" t="s">
        <v>18</v>
      </c>
      <c r="H335">
        <v>1</v>
      </c>
      <c r="I335" s="8">
        <v>2199.6</v>
      </c>
      <c r="J335" s="8">
        <f t="shared" si="12"/>
        <v>2199.6</v>
      </c>
      <c r="K335" t="s">
        <v>2127</v>
      </c>
      <c r="L335" t="s">
        <v>2162</v>
      </c>
      <c r="M335" t="s">
        <v>261</v>
      </c>
      <c r="N335" t="s">
        <v>261</v>
      </c>
      <c r="O335" t="s">
        <v>261</v>
      </c>
      <c r="P335" t="s">
        <v>261</v>
      </c>
      <c r="Q335" t="s">
        <v>261</v>
      </c>
      <c r="R335" t="s">
        <v>261</v>
      </c>
      <c r="S335" t="s">
        <v>261</v>
      </c>
      <c r="T335" t="s">
        <v>261</v>
      </c>
      <c r="U335" t="s">
        <v>261</v>
      </c>
    </row>
    <row r="336" spans="1:21">
      <c r="A336">
        <f t="shared" si="13"/>
        <v>335</v>
      </c>
      <c r="B336" s="10" t="s">
        <v>2130</v>
      </c>
      <c r="C336" s="6">
        <v>44530</v>
      </c>
      <c r="D336" t="s">
        <v>2131</v>
      </c>
      <c r="E336" t="s">
        <v>2132</v>
      </c>
      <c r="F336" t="s">
        <v>2133</v>
      </c>
      <c r="G336" t="s">
        <v>18</v>
      </c>
      <c r="H336">
        <v>1</v>
      </c>
      <c r="I336" s="8">
        <v>987</v>
      </c>
      <c r="J336" s="8">
        <f t="shared" si="12"/>
        <v>987</v>
      </c>
      <c r="K336" t="s">
        <v>2134</v>
      </c>
      <c r="L336" t="s">
        <v>2163</v>
      </c>
      <c r="M336" t="s">
        <v>261</v>
      </c>
      <c r="N336" t="s">
        <v>261</v>
      </c>
      <c r="O336" t="s">
        <v>261</v>
      </c>
      <c r="P336" t="s">
        <v>261</v>
      </c>
      <c r="Q336" t="s">
        <v>261</v>
      </c>
      <c r="R336" t="s">
        <v>261</v>
      </c>
      <c r="S336" t="s">
        <v>261</v>
      </c>
      <c r="T336" t="s">
        <v>261</v>
      </c>
      <c r="U336" t="s">
        <v>261</v>
      </c>
    </row>
    <row r="337" spans="1:21">
      <c r="A337">
        <f t="shared" si="13"/>
        <v>336</v>
      </c>
      <c r="B337" s="10" t="s">
        <v>2157</v>
      </c>
      <c r="C337" s="6">
        <v>44531</v>
      </c>
      <c r="D337" t="s">
        <v>2158</v>
      </c>
      <c r="E337" t="s">
        <v>2159</v>
      </c>
      <c r="F337" t="s">
        <v>2160</v>
      </c>
      <c r="G337" t="s">
        <v>18</v>
      </c>
      <c r="H337">
        <v>1</v>
      </c>
      <c r="I337" s="8">
        <v>1116.25</v>
      </c>
      <c r="J337" s="8">
        <f t="shared" si="12"/>
        <v>1116.25</v>
      </c>
      <c r="K337" t="s">
        <v>2161</v>
      </c>
      <c r="L337" t="s">
        <v>2168</v>
      </c>
      <c r="M337" t="s">
        <v>261</v>
      </c>
      <c r="N337" t="s">
        <v>261</v>
      </c>
      <c r="O337" t="s">
        <v>261</v>
      </c>
      <c r="P337" t="s">
        <v>261</v>
      </c>
      <c r="Q337" t="s">
        <v>261</v>
      </c>
      <c r="R337" t="s">
        <v>261</v>
      </c>
      <c r="S337" t="s">
        <v>261</v>
      </c>
      <c r="T337" t="s">
        <v>261</v>
      </c>
      <c r="U337" t="s">
        <v>261</v>
      </c>
    </row>
    <row r="338" spans="1:21">
      <c r="A338">
        <f t="shared" si="13"/>
        <v>337</v>
      </c>
      <c r="B338" s="103" t="s">
        <v>2164</v>
      </c>
      <c r="C338" s="6">
        <v>40879</v>
      </c>
      <c r="D338" t="s">
        <v>2165</v>
      </c>
      <c r="E338" t="s">
        <v>2166</v>
      </c>
      <c r="F338" t="s">
        <v>2167</v>
      </c>
      <c r="G338" t="s">
        <v>18</v>
      </c>
      <c r="H338">
        <v>1</v>
      </c>
      <c r="I338" s="8">
        <v>846</v>
      </c>
      <c r="J338" s="8">
        <f t="shared" si="12"/>
        <v>846</v>
      </c>
      <c r="K338" t="s">
        <v>68</v>
      </c>
      <c r="L338" t="s">
        <v>681</v>
      </c>
      <c r="M338" t="s">
        <v>261</v>
      </c>
      <c r="N338" t="s">
        <v>261</v>
      </c>
      <c r="O338" t="s">
        <v>261</v>
      </c>
      <c r="P338" t="s">
        <v>261</v>
      </c>
      <c r="Q338" t="s">
        <v>261</v>
      </c>
      <c r="R338" t="s">
        <v>261</v>
      </c>
      <c r="S338" t="s">
        <v>261</v>
      </c>
      <c r="T338" t="s">
        <v>261</v>
      </c>
      <c r="U338" t="s">
        <v>261</v>
      </c>
    </row>
    <row r="339" spans="1:21">
      <c r="A339">
        <f t="shared" si="13"/>
        <v>338</v>
      </c>
      <c r="B339" s="10" t="s">
        <v>2169</v>
      </c>
      <c r="C339" s="6">
        <v>44532</v>
      </c>
      <c r="D339" t="s">
        <v>2170</v>
      </c>
      <c r="E339" t="s">
        <v>2171</v>
      </c>
      <c r="F339" t="s">
        <v>2172</v>
      </c>
      <c r="G339" t="s">
        <v>18</v>
      </c>
      <c r="H339">
        <v>1</v>
      </c>
      <c r="I339" s="8">
        <v>1273.5</v>
      </c>
      <c r="J339" s="8">
        <f t="shared" si="12"/>
        <v>1273.5</v>
      </c>
      <c r="K339" t="s">
        <v>2173</v>
      </c>
      <c r="L339" t="s">
        <v>281</v>
      </c>
      <c r="M339" t="s">
        <v>261</v>
      </c>
      <c r="N339" t="s">
        <v>261</v>
      </c>
      <c r="O339" t="s">
        <v>261</v>
      </c>
      <c r="P339" t="s">
        <v>261</v>
      </c>
      <c r="Q339" t="s">
        <v>261</v>
      </c>
      <c r="R339" t="s">
        <v>261</v>
      </c>
      <c r="S339" t="s">
        <v>261</v>
      </c>
      <c r="T339" t="s">
        <v>261</v>
      </c>
      <c r="U339" t="s">
        <v>261</v>
      </c>
    </row>
    <row r="340" spans="1:21">
      <c r="A340">
        <f t="shared" si="13"/>
        <v>339</v>
      </c>
      <c r="B340" s="10" t="s">
        <v>2174</v>
      </c>
      <c r="C340" s="6">
        <v>44532</v>
      </c>
      <c r="D340" t="s">
        <v>2175</v>
      </c>
      <c r="E340" t="s">
        <v>2176</v>
      </c>
      <c r="F340" t="s">
        <v>2177</v>
      </c>
      <c r="G340" t="s">
        <v>18</v>
      </c>
      <c r="H340">
        <v>1</v>
      </c>
      <c r="I340" s="8">
        <v>1111.5</v>
      </c>
      <c r="J340" s="8">
        <f t="shared" si="12"/>
        <v>1111.5</v>
      </c>
      <c r="K340" t="s">
        <v>2178</v>
      </c>
      <c r="L340" t="s">
        <v>2188</v>
      </c>
      <c r="M340" t="s">
        <v>261</v>
      </c>
      <c r="N340" t="s">
        <v>261</v>
      </c>
      <c r="O340" t="s">
        <v>261</v>
      </c>
      <c r="P340" t="s">
        <v>261</v>
      </c>
      <c r="Q340" t="s">
        <v>261</v>
      </c>
      <c r="R340" t="s">
        <v>261</v>
      </c>
      <c r="S340" t="s">
        <v>261</v>
      </c>
      <c r="T340" t="s">
        <v>261</v>
      </c>
      <c r="U340" t="s">
        <v>261</v>
      </c>
    </row>
    <row r="341" spans="1:21">
      <c r="A341">
        <f t="shared" si="13"/>
        <v>340</v>
      </c>
      <c r="B341" s="10" t="s">
        <v>2183</v>
      </c>
      <c r="C341" s="6">
        <v>44536</v>
      </c>
      <c r="D341" t="s">
        <v>2184</v>
      </c>
      <c r="E341" t="s">
        <v>2185</v>
      </c>
      <c r="F341" t="s">
        <v>2186</v>
      </c>
      <c r="G341" t="s">
        <v>18</v>
      </c>
      <c r="H341">
        <v>1</v>
      </c>
      <c r="I341" s="8">
        <v>1472.5</v>
      </c>
      <c r="J341" s="8">
        <f t="shared" si="12"/>
        <v>1472.5</v>
      </c>
      <c r="K341" t="s">
        <v>2187</v>
      </c>
      <c r="L341" t="s">
        <v>2095</v>
      </c>
      <c r="M341" t="s">
        <v>261</v>
      </c>
      <c r="N341" t="s">
        <v>261</v>
      </c>
      <c r="O341" t="s">
        <v>261</v>
      </c>
      <c r="P341" t="s">
        <v>261</v>
      </c>
      <c r="Q341" t="s">
        <v>261</v>
      </c>
      <c r="R341" t="s">
        <v>261</v>
      </c>
      <c r="S341" t="s">
        <v>261</v>
      </c>
      <c r="T341" t="s">
        <v>261</v>
      </c>
      <c r="U341" t="s">
        <v>261</v>
      </c>
    </row>
    <row r="342" spans="1:21">
      <c r="A342">
        <f t="shared" si="13"/>
        <v>341</v>
      </c>
      <c r="B342" s="10" t="s">
        <v>2191</v>
      </c>
      <c r="C342" s="6">
        <v>44526</v>
      </c>
      <c r="D342" t="s">
        <v>2192</v>
      </c>
      <c r="E342" t="s">
        <v>2193</v>
      </c>
      <c r="F342" t="s">
        <v>2194</v>
      </c>
      <c r="G342" t="s">
        <v>18</v>
      </c>
      <c r="H342">
        <v>1</v>
      </c>
      <c r="I342" s="8">
        <v>1089.28</v>
      </c>
      <c r="J342" s="8">
        <f t="shared" si="12"/>
        <v>1089.28</v>
      </c>
      <c r="K342" t="s">
        <v>2195</v>
      </c>
      <c r="L342" t="s">
        <v>2209</v>
      </c>
      <c r="M342" t="s">
        <v>261</v>
      </c>
      <c r="N342" t="s">
        <v>261</v>
      </c>
      <c r="O342" t="s">
        <v>261</v>
      </c>
      <c r="P342" t="s">
        <v>261</v>
      </c>
      <c r="Q342" t="s">
        <v>261</v>
      </c>
      <c r="R342" t="s">
        <v>261</v>
      </c>
      <c r="S342" t="s">
        <v>261</v>
      </c>
      <c r="T342" t="s">
        <v>261</v>
      </c>
      <c r="U342" t="s">
        <v>261</v>
      </c>
    </row>
    <row r="343" spans="1:21">
      <c r="A343">
        <f t="shared" si="13"/>
        <v>342</v>
      </c>
      <c r="B343" s="10" t="s">
        <v>2196</v>
      </c>
      <c r="C343" s="6">
        <v>44537</v>
      </c>
      <c r="D343" t="s">
        <v>2197</v>
      </c>
      <c r="E343" t="s">
        <v>2198</v>
      </c>
      <c r="F343" t="s">
        <v>2199</v>
      </c>
      <c r="G343" t="s">
        <v>18</v>
      </c>
      <c r="H343">
        <v>1</v>
      </c>
      <c r="I343" s="8">
        <v>2537</v>
      </c>
      <c r="J343" s="8">
        <f t="shared" si="12"/>
        <v>2537</v>
      </c>
      <c r="K343" t="s">
        <v>2200</v>
      </c>
      <c r="L343" t="s">
        <v>1443</v>
      </c>
      <c r="M343" t="s">
        <v>261</v>
      </c>
      <c r="N343" t="s">
        <v>261</v>
      </c>
      <c r="O343" t="s">
        <v>261</v>
      </c>
      <c r="P343" t="s">
        <v>261</v>
      </c>
      <c r="Q343" t="s">
        <v>261</v>
      </c>
      <c r="R343" t="s">
        <v>261</v>
      </c>
      <c r="S343" t="s">
        <v>261</v>
      </c>
      <c r="T343" t="s">
        <v>261</v>
      </c>
      <c r="U343" t="s">
        <v>261</v>
      </c>
    </row>
    <row r="344" spans="1:21">
      <c r="A344">
        <f t="shared" si="13"/>
        <v>343</v>
      </c>
      <c r="B344" s="103" t="s">
        <v>2204</v>
      </c>
      <c r="C344" s="6">
        <v>44538</v>
      </c>
      <c r="D344" t="s">
        <v>2205</v>
      </c>
      <c r="E344" t="s">
        <v>2206</v>
      </c>
      <c r="F344" t="s">
        <v>2207</v>
      </c>
      <c r="G344" t="s">
        <v>18</v>
      </c>
      <c r="H344">
        <v>1</v>
      </c>
      <c r="I344" s="8">
        <v>1315</v>
      </c>
      <c r="J344" s="8">
        <f t="shared" si="12"/>
        <v>1315</v>
      </c>
      <c r="K344" t="s">
        <v>2208</v>
      </c>
      <c r="L344" t="s">
        <v>698</v>
      </c>
      <c r="M344" t="s">
        <v>261</v>
      </c>
      <c r="N344" t="s">
        <v>261</v>
      </c>
      <c r="O344" t="s">
        <v>261</v>
      </c>
      <c r="P344" t="s">
        <v>261</v>
      </c>
      <c r="Q344" t="s">
        <v>261</v>
      </c>
      <c r="R344" t="s">
        <v>261</v>
      </c>
      <c r="S344" t="s">
        <v>261</v>
      </c>
      <c r="T344" t="s">
        <v>261</v>
      </c>
      <c r="U344" t="s">
        <v>261</v>
      </c>
    </row>
    <row r="345" spans="1:21">
      <c r="A345">
        <f t="shared" si="13"/>
        <v>344</v>
      </c>
      <c r="B345" s="10" t="s">
        <v>2214</v>
      </c>
      <c r="C345" s="6">
        <v>44540</v>
      </c>
      <c r="D345" t="s">
        <v>2215</v>
      </c>
      <c r="E345" t="s">
        <v>2216</v>
      </c>
      <c r="F345" t="s">
        <v>2217</v>
      </c>
      <c r="G345" t="s">
        <v>18</v>
      </c>
      <c r="H345">
        <v>1</v>
      </c>
      <c r="I345" s="8">
        <v>1590</v>
      </c>
      <c r="J345" s="8">
        <f t="shared" si="12"/>
        <v>1590</v>
      </c>
      <c r="K345" t="s">
        <v>2218</v>
      </c>
      <c r="L345" t="s">
        <v>2224</v>
      </c>
      <c r="M345" t="s">
        <v>261</v>
      </c>
      <c r="N345" t="s">
        <v>261</v>
      </c>
      <c r="O345" t="s">
        <v>261</v>
      </c>
      <c r="P345" t="s">
        <v>261</v>
      </c>
      <c r="Q345" t="s">
        <v>261</v>
      </c>
      <c r="R345" t="s">
        <v>261</v>
      </c>
      <c r="S345" t="s">
        <v>261</v>
      </c>
      <c r="T345" t="s">
        <v>261</v>
      </c>
      <c r="U345" t="s">
        <v>261</v>
      </c>
    </row>
    <row r="346" spans="1:21">
      <c r="A346">
        <f t="shared" si="13"/>
        <v>345</v>
      </c>
      <c r="B346" s="10" t="s">
        <v>2219</v>
      </c>
      <c r="C346" s="6">
        <v>44540</v>
      </c>
      <c r="D346" t="s">
        <v>2220</v>
      </c>
      <c r="E346" t="s">
        <v>2221</v>
      </c>
      <c r="F346" t="s">
        <v>2222</v>
      </c>
      <c r="G346" t="s">
        <v>18</v>
      </c>
      <c r="H346">
        <v>1</v>
      </c>
      <c r="I346" s="8">
        <v>2834.1</v>
      </c>
      <c r="J346" s="8">
        <f t="shared" si="12"/>
        <v>2834.1</v>
      </c>
      <c r="K346" t="s">
        <v>2223</v>
      </c>
      <c r="L346" t="s">
        <v>2229</v>
      </c>
      <c r="M346" t="s">
        <v>261</v>
      </c>
      <c r="N346" t="s">
        <v>261</v>
      </c>
      <c r="O346" t="s">
        <v>261</v>
      </c>
      <c r="P346" t="s">
        <v>261</v>
      </c>
      <c r="Q346" t="s">
        <v>261</v>
      </c>
      <c r="R346" t="s">
        <v>261</v>
      </c>
      <c r="S346" t="s">
        <v>261</v>
      </c>
      <c r="T346" t="s">
        <v>261</v>
      </c>
      <c r="U346" t="s">
        <v>261</v>
      </c>
    </row>
    <row r="347" spans="1:21">
      <c r="A347">
        <f t="shared" si="13"/>
        <v>346</v>
      </c>
      <c r="B347" s="10" t="s">
        <v>2225</v>
      </c>
      <c r="C347" s="6">
        <v>44541</v>
      </c>
      <c r="D347" t="s">
        <v>2226</v>
      </c>
      <c r="E347" t="s">
        <v>2228</v>
      </c>
      <c r="F347" t="s">
        <v>2227</v>
      </c>
      <c r="G347" t="s">
        <v>18</v>
      </c>
      <c r="H347">
        <v>1</v>
      </c>
      <c r="I347" s="8">
        <v>861</v>
      </c>
      <c r="J347" s="8">
        <f t="shared" si="12"/>
        <v>861</v>
      </c>
      <c r="K347" t="s">
        <v>1888</v>
      </c>
      <c r="L347" t="s">
        <v>2235</v>
      </c>
      <c r="M347" t="s">
        <v>261</v>
      </c>
      <c r="N347" t="s">
        <v>261</v>
      </c>
      <c r="O347" t="s">
        <v>261</v>
      </c>
      <c r="P347" t="s">
        <v>261</v>
      </c>
      <c r="Q347" t="s">
        <v>261</v>
      </c>
      <c r="R347" t="s">
        <v>261</v>
      </c>
      <c r="S347" t="s">
        <v>261</v>
      </c>
      <c r="T347" t="s">
        <v>261</v>
      </c>
      <c r="U347" t="s">
        <v>261</v>
      </c>
    </row>
    <row r="348" spans="1:21">
      <c r="A348">
        <f t="shared" si="13"/>
        <v>347</v>
      </c>
      <c r="B348" s="10" t="s">
        <v>2230</v>
      </c>
      <c r="C348" s="6">
        <v>44543</v>
      </c>
      <c r="D348" t="s">
        <v>2231</v>
      </c>
      <c r="E348" t="s">
        <v>2232</v>
      </c>
      <c r="F348" t="s">
        <v>2233</v>
      </c>
      <c r="G348" t="s">
        <v>18</v>
      </c>
      <c r="H348">
        <v>1</v>
      </c>
      <c r="I348" s="8">
        <v>1843</v>
      </c>
      <c r="J348" s="8">
        <f t="shared" si="12"/>
        <v>1843</v>
      </c>
      <c r="K348" t="s">
        <v>2234</v>
      </c>
      <c r="L348" t="s">
        <v>2241</v>
      </c>
      <c r="M348" t="s">
        <v>261</v>
      </c>
      <c r="N348" t="s">
        <v>261</v>
      </c>
      <c r="O348" t="s">
        <v>261</v>
      </c>
      <c r="P348" t="s">
        <v>261</v>
      </c>
      <c r="Q348" t="s">
        <v>261</v>
      </c>
      <c r="R348" t="s">
        <v>261</v>
      </c>
      <c r="S348" t="s">
        <v>261</v>
      </c>
      <c r="T348" t="s">
        <v>261</v>
      </c>
      <c r="U348" t="s">
        <v>261</v>
      </c>
    </row>
    <row r="349" spans="1:21">
      <c r="A349">
        <f t="shared" si="13"/>
        <v>348</v>
      </c>
      <c r="B349" s="10" t="s">
        <v>2236</v>
      </c>
      <c r="C349" s="6">
        <v>44543</v>
      </c>
      <c r="D349" t="s">
        <v>2237</v>
      </c>
      <c r="E349" t="s">
        <v>2238</v>
      </c>
      <c r="F349" t="s">
        <v>2239</v>
      </c>
      <c r="G349" t="s">
        <v>18</v>
      </c>
      <c r="H349">
        <v>1</v>
      </c>
      <c r="I349" s="8">
        <v>1323.65</v>
      </c>
      <c r="J349" s="8">
        <f t="shared" si="12"/>
        <v>1323.65</v>
      </c>
      <c r="K349" t="s">
        <v>2240</v>
      </c>
      <c r="L349" t="s">
        <v>2247</v>
      </c>
      <c r="M349" t="s">
        <v>261</v>
      </c>
      <c r="N349" t="s">
        <v>261</v>
      </c>
      <c r="O349" t="s">
        <v>261</v>
      </c>
      <c r="P349" t="s">
        <v>261</v>
      </c>
      <c r="Q349" t="s">
        <v>261</v>
      </c>
      <c r="R349" t="s">
        <v>261</v>
      </c>
      <c r="S349" t="s">
        <v>261</v>
      </c>
      <c r="T349" t="s">
        <v>261</v>
      </c>
      <c r="U349" t="s">
        <v>261</v>
      </c>
    </row>
    <row r="350" spans="1:21">
      <c r="A350">
        <f t="shared" si="13"/>
        <v>349</v>
      </c>
      <c r="B350" s="10" t="s">
        <v>2242</v>
      </c>
      <c r="C350" s="6">
        <v>44533</v>
      </c>
      <c r="D350" t="s">
        <v>2243</v>
      </c>
      <c r="E350" t="s">
        <v>2244</v>
      </c>
      <c r="F350" t="s">
        <v>2245</v>
      </c>
      <c r="G350" t="s">
        <v>18</v>
      </c>
      <c r="H350">
        <v>1</v>
      </c>
      <c r="I350" s="8">
        <v>4339.28</v>
      </c>
      <c r="J350" s="8">
        <f t="shared" si="12"/>
        <v>4339.28</v>
      </c>
      <c r="K350" t="s">
        <v>2246</v>
      </c>
      <c r="L350" t="s">
        <v>281</v>
      </c>
      <c r="M350" t="s">
        <v>261</v>
      </c>
      <c r="N350" t="s">
        <v>261</v>
      </c>
      <c r="O350" t="s">
        <v>261</v>
      </c>
      <c r="P350" t="s">
        <v>261</v>
      </c>
      <c r="Q350" t="s">
        <v>261</v>
      </c>
      <c r="R350" t="s">
        <v>261</v>
      </c>
      <c r="S350" t="s">
        <v>261</v>
      </c>
      <c r="T350" t="s">
        <v>261</v>
      </c>
      <c r="U350" t="s">
        <v>261</v>
      </c>
    </row>
    <row r="351" spans="1:21">
      <c r="A351">
        <f t="shared" si="13"/>
        <v>350</v>
      </c>
      <c r="B351" s="10" t="s">
        <v>2248</v>
      </c>
      <c r="C351" s="6">
        <v>44544</v>
      </c>
      <c r="D351" t="s">
        <v>2249</v>
      </c>
      <c r="E351" t="s">
        <v>2250</v>
      </c>
      <c r="F351" t="s">
        <v>2251</v>
      </c>
      <c r="G351" t="s">
        <v>18</v>
      </c>
      <c r="H351">
        <v>1</v>
      </c>
      <c r="I351" s="8">
        <v>1865.8</v>
      </c>
      <c r="J351" s="8">
        <f t="shared" si="12"/>
        <v>1865.8</v>
      </c>
      <c r="K351" t="s">
        <v>2252</v>
      </c>
      <c r="L351" t="s">
        <v>2257</v>
      </c>
      <c r="M351" t="s">
        <v>261</v>
      </c>
      <c r="N351" t="s">
        <v>261</v>
      </c>
      <c r="O351" t="s">
        <v>261</v>
      </c>
      <c r="P351" t="s">
        <v>261</v>
      </c>
      <c r="Q351" t="s">
        <v>261</v>
      </c>
      <c r="R351" t="s">
        <v>261</v>
      </c>
      <c r="S351" t="s">
        <v>261</v>
      </c>
      <c r="T351" t="s">
        <v>261</v>
      </c>
      <c r="U351" t="s">
        <v>261</v>
      </c>
    </row>
    <row r="352" spans="1:21">
      <c r="A352" s="12">
        <f t="shared" si="13"/>
        <v>351</v>
      </c>
      <c r="B352" s="10" t="s">
        <v>2364</v>
      </c>
      <c r="C352" s="6">
        <v>44544</v>
      </c>
      <c r="D352" t="s">
        <v>2253</v>
      </c>
      <c r="E352" t="s">
        <v>2254</v>
      </c>
      <c r="F352" t="s">
        <v>2255</v>
      </c>
      <c r="G352" t="s">
        <v>18</v>
      </c>
      <c r="H352">
        <v>2</v>
      </c>
      <c r="I352" s="8">
        <v>2342.6</v>
      </c>
      <c r="J352" s="8">
        <f t="shared" si="12"/>
        <v>1171.3</v>
      </c>
      <c r="K352" t="s">
        <v>2365</v>
      </c>
      <c r="L352" t="s">
        <v>1071</v>
      </c>
      <c r="M352" t="s">
        <v>261</v>
      </c>
      <c r="N352" t="s">
        <v>261</v>
      </c>
      <c r="O352" t="s">
        <v>261</v>
      </c>
      <c r="P352" t="s">
        <v>261</v>
      </c>
      <c r="Q352" t="s">
        <v>261</v>
      </c>
      <c r="R352" t="s">
        <v>261</v>
      </c>
      <c r="S352" t="s">
        <v>261</v>
      </c>
      <c r="T352" t="s">
        <v>261</v>
      </c>
      <c r="U352" t="s">
        <v>261</v>
      </c>
    </row>
    <row r="353" spans="1:21">
      <c r="A353">
        <f t="shared" si="13"/>
        <v>352</v>
      </c>
      <c r="B353" s="103" t="s">
        <v>2258</v>
      </c>
      <c r="C353" s="6">
        <v>44495</v>
      </c>
      <c r="D353" t="s">
        <v>2259</v>
      </c>
      <c r="F353" t="s">
        <v>2260</v>
      </c>
      <c r="G353" t="s">
        <v>18</v>
      </c>
      <c r="H353">
        <v>1</v>
      </c>
      <c r="I353" s="8">
        <v>1399.49</v>
      </c>
      <c r="J353" s="8">
        <f t="shared" si="12"/>
        <v>1399.49</v>
      </c>
      <c r="K353" t="s">
        <v>2261</v>
      </c>
      <c r="L353" t="s">
        <v>1782</v>
      </c>
      <c r="M353" t="s">
        <v>261</v>
      </c>
      <c r="N353" t="s">
        <v>261</v>
      </c>
      <c r="O353" t="s">
        <v>261</v>
      </c>
      <c r="P353" t="s">
        <v>261</v>
      </c>
      <c r="Q353" t="s">
        <v>261</v>
      </c>
      <c r="R353" t="s">
        <v>261</v>
      </c>
      <c r="S353" t="s">
        <v>261</v>
      </c>
      <c r="T353" t="s">
        <v>261</v>
      </c>
      <c r="U353" t="s">
        <v>261</v>
      </c>
    </row>
    <row r="354" spans="1:21">
      <c r="A354">
        <f t="shared" si="13"/>
        <v>353</v>
      </c>
      <c r="B354" s="10" t="s">
        <v>2264</v>
      </c>
      <c r="C354" s="6">
        <v>44534</v>
      </c>
      <c r="D354" t="s">
        <v>2265</v>
      </c>
      <c r="E354" t="s">
        <v>2266</v>
      </c>
      <c r="F354" t="s">
        <v>2267</v>
      </c>
      <c r="G354" t="s">
        <v>18</v>
      </c>
      <c r="H354">
        <v>1</v>
      </c>
      <c r="I354" s="8">
        <v>1329.84</v>
      </c>
      <c r="J354" s="8">
        <f t="shared" si="12"/>
        <v>1329.84</v>
      </c>
      <c r="K354" t="s">
        <v>2268</v>
      </c>
      <c r="L354" t="s">
        <v>403</v>
      </c>
      <c r="M354" t="s">
        <v>261</v>
      </c>
      <c r="N354" t="s">
        <v>261</v>
      </c>
      <c r="O354" t="s">
        <v>261</v>
      </c>
      <c r="P354" t="s">
        <v>261</v>
      </c>
      <c r="Q354" t="s">
        <v>261</v>
      </c>
      <c r="R354" t="s">
        <v>261</v>
      </c>
      <c r="S354" t="s">
        <v>261</v>
      </c>
      <c r="T354" t="s">
        <v>261</v>
      </c>
      <c r="U354" t="s">
        <v>261</v>
      </c>
    </row>
    <row r="355" spans="1:21">
      <c r="A355">
        <f t="shared" si="13"/>
        <v>354</v>
      </c>
      <c r="B355" s="10" t="s">
        <v>2269</v>
      </c>
      <c r="C355" s="6">
        <v>44545</v>
      </c>
      <c r="D355" t="s">
        <v>2270</v>
      </c>
      <c r="E355" t="s">
        <v>2271</v>
      </c>
      <c r="F355" t="s">
        <v>2272</v>
      </c>
      <c r="G355" t="s">
        <v>18</v>
      </c>
      <c r="H355">
        <v>1</v>
      </c>
      <c r="I355" s="8">
        <v>1656</v>
      </c>
      <c r="J355" s="8">
        <f t="shared" si="12"/>
        <v>1656</v>
      </c>
      <c r="K355" t="s">
        <v>2273</v>
      </c>
      <c r="L355" t="s">
        <v>2279</v>
      </c>
      <c r="M355" t="s">
        <v>261</v>
      </c>
      <c r="N355" t="s">
        <v>261</v>
      </c>
      <c r="O355" t="s">
        <v>261</v>
      </c>
      <c r="P355" t="s">
        <v>261</v>
      </c>
      <c r="Q355" t="s">
        <v>261</v>
      </c>
      <c r="R355" t="s">
        <v>261</v>
      </c>
      <c r="S355" t="s">
        <v>261</v>
      </c>
      <c r="T355" t="s">
        <v>261</v>
      </c>
      <c r="U355" t="s">
        <v>261</v>
      </c>
    </row>
    <row r="356" spans="1:21">
      <c r="A356">
        <f t="shared" si="13"/>
        <v>355</v>
      </c>
      <c r="B356" s="10" t="s">
        <v>2274</v>
      </c>
      <c r="C356" s="6">
        <v>44546</v>
      </c>
      <c r="D356" t="s">
        <v>2275</v>
      </c>
      <c r="E356" t="s">
        <v>2276</v>
      </c>
      <c r="F356" t="s">
        <v>2277</v>
      </c>
      <c r="G356" t="s">
        <v>18</v>
      </c>
      <c r="H356">
        <v>1</v>
      </c>
      <c r="I356" s="8">
        <v>968</v>
      </c>
      <c r="J356" s="8">
        <f t="shared" si="12"/>
        <v>968</v>
      </c>
      <c r="K356" t="s">
        <v>2278</v>
      </c>
      <c r="L356" t="s">
        <v>403</v>
      </c>
      <c r="M356" t="s">
        <v>261</v>
      </c>
      <c r="N356" t="s">
        <v>261</v>
      </c>
      <c r="O356" t="s">
        <v>261</v>
      </c>
      <c r="P356" t="s">
        <v>261</v>
      </c>
      <c r="Q356" t="s">
        <v>261</v>
      </c>
      <c r="R356" t="s">
        <v>261</v>
      </c>
      <c r="S356" t="s">
        <v>261</v>
      </c>
      <c r="T356" t="s">
        <v>261</v>
      </c>
      <c r="U356" t="s">
        <v>261</v>
      </c>
    </row>
    <row r="357" spans="1:21">
      <c r="A357">
        <f t="shared" si="13"/>
        <v>356</v>
      </c>
      <c r="B357" s="10" t="s">
        <v>2280</v>
      </c>
      <c r="C357" s="6">
        <v>44546</v>
      </c>
      <c r="D357" t="s">
        <v>2281</v>
      </c>
      <c r="E357" t="s">
        <v>2282</v>
      </c>
      <c r="F357" t="s">
        <v>2283</v>
      </c>
      <c r="G357" t="s">
        <v>18</v>
      </c>
      <c r="H357">
        <v>1</v>
      </c>
      <c r="I357" s="8">
        <v>1586.25</v>
      </c>
      <c r="J357" s="8">
        <f t="shared" si="12"/>
        <v>1586.25</v>
      </c>
      <c r="K357" t="s">
        <v>2284</v>
      </c>
      <c r="L357" t="s">
        <v>2290</v>
      </c>
      <c r="M357" t="s">
        <v>261</v>
      </c>
      <c r="N357" t="s">
        <v>261</v>
      </c>
      <c r="O357" t="s">
        <v>261</v>
      </c>
      <c r="P357" t="s">
        <v>261</v>
      </c>
      <c r="Q357" t="s">
        <v>261</v>
      </c>
      <c r="R357" t="s">
        <v>261</v>
      </c>
      <c r="S357" t="s">
        <v>261</v>
      </c>
      <c r="T357" t="s">
        <v>261</v>
      </c>
      <c r="U357" t="s">
        <v>261</v>
      </c>
    </row>
    <row r="358" spans="1:21">
      <c r="A358">
        <f t="shared" si="13"/>
        <v>357</v>
      </c>
      <c r="B358" s="10" t="s">
        <v>2285</v>
      </c>
      <c r="C358" s="6">
        <v>44547</v>
      </c>
      <c r="D358" t="s">
        <v>2286</v>
      </c>
      <c r="E358" t="s">
        <v>2287</v>
      </c>
      <c r="F358" t="s">
        <v>2288</v>
      </c>
      <c r="G358" t="s">
        <v>18</v>
      </c>
      <c r="H358">
        <v>1</v>
      </c>
      <c r="I358" s="8">
        <v>2402.1</v>
      </c>
      <c r="J358" s="8">
        <f t="shared" si="12"/>
        <v>2402.1</v>
      </c>
      <c r="K358" t="s">
        <v>2289</v>
      </c>
      <c r="L358" t="s">
        <v>792</v>
      </c>
      <c r="M358" t="s">
        <v>261</v>
      </c>
      <c r="N358" t="s">
        <v>261</v>
      </c>
      <c r="O358" t="s">
        <v>261</v>
      </c>
      <c r="P358" t="s">
        <v>261</v>
      </c>
      <c r="Q358" t="s">
        <v>261</v>
      </c>
      <c r="R358" t="s">
        <v>261</v>
      </c>
      <c r="S358" t="s">
        <v>261</v>
      </c>
      <c r="T358" t="s">
        <v>261</v>
      </c>
      <c r="U358" t="s">
        <v>261</v>
      </c>
    </row>
    <row r="359" spans="1:21">
      <c r="A359">
        <f t="shared" si="13"/>
        <v>358</v>
      </c>
      <c r="B359" s="10" t="s">
        <v>2291</v>
      </c>
      <c r="C359" s="6">
        <v>44550</v>
      </c>
      <c r="D359" t="s">
        <v>2292</v>
      </c>
      <c r="E359" t="s">
        <v>2293</v>
      </c>
      <c r="F359" t="s">
        <v>2294</v>
      </c>
      <c r="G359" t="s">
        <v>18</v>
      </c>
      <c r="H359">
        <v>1</v>
      </c>
      <c r="I359" s="8">
        <v>1322.4</v>
      </c>
      <c r="J359" s="8">
        <f t="shared" si="12"/>
        <v>1322.4</v>
      </c>
      <c r="K359" t="s">
        <v>524</v>
      </c>
      <c r="L359" t="s">
        <v>2297</v>
      </c>
      <c r="M359" t="s">
        <v>261</v>
      </c>
      <c r="N359" t="s">
        <v>261</v>
      </c>
      <c r="O359" t="s">
        <v>261</v>
      </c>
      <c r="P359" t="s">
        <v>261</v>
      </c>
      <c r="Q359" t="s">
        <v>261</v>
      </c>
      <c r="R359" t="s">
        <v>261</v>
      </c>
      <c r="S359" t="s">
        <v>261</v>
      </c>
      <c r="T359" t="s">
        <v>261</v>
      </c>
      <c r="U359" t="s">
        <v>261</v>
      </c>
    </row>
    <row r="360" spans="1:21">
      <c r="A360">
        <f t="shared" si="13"/>
        <v>359</v>
      </c>
      <c r="B360" s="10" t="s">
        <v>2298</v>
      </c>
      <c r="C360" s="6">
        <v>44536</v>
      </c>
      <c r="D360" t="s">
        <v>2299</v>
      </c>
      <c r="E360" t="s">
        <v>2300</v>
      </c>
      <c r="F360" t="s">
        <v>2301</v>
      </c>
      <c r="G360" t="s">
        <v>18</v>
      </c>
      <c r="H360">
        <v>1</v>
      </c>
      <c r="I360" s="8">
        <v>1385.2</v>
      </c>
      <c r="J360" s="8">
        <f t="shared" si="12"/>
        <v>1385.2</v>
      </c>
      <c r="K360" t="s">
        <v>2302</v>
      </c>
      <c r="L360" t="s">
        <v>698</v>
      </c>
      <c r="M360" t="s">
        <v>261</v>
      </c>
      <c r="N360" t="s">
        <v>261</v>
      </c>
      <c r="O360" t="s">
        <v>261</v>
      </c>
      <c r="P360" t="s">
        <v>261</v>
      </c>
      <c r="Q360" t="s">
        <v>261</v>
      </c>
      <c r="R360" t="s">
        <v>261</v>
      </c>
      <c r="S360" t="s">
        <v>261</v>
      </c>
      <c r="T360" t="s">
        <v>261</v>
      </c>
      <c r="U360" t="s">
        <v>261</v>
      </c>
    </row>
    <row r="361" spans="1:21">
      <c r="A361">
        <f t="shared" si="13"/>
        <v>360</v>
      </c>
      <c r="B361" s="10" t="s">
        <v>2303</v>
      </c>
      <c r="C361" s="6">
        <v>44551</v>
      </c>
      <c r="D361" t="s">
        <v>2304</v>
      </c>
      <c r="E361" t="s">
        <v>2305</v>
      </c>
      <c r="F361" t="s">
        <v>2306</v>
      </c>
      <c r="G361" t="s">
        <v>18</v>
      </c>
      <c r="H361">
        <v>1</v>
      </c>
      <c r="I361" s="8">
        <v>1008.9</v>
      </c>
      <c r="J361" s="8">
        <f t="shared" si="12"/>
        <v>1008.9</v>
      </c>
      <c r="K361" t="s">
        <v>2307</v>
      </c>
      <c r="L361" t="s">
        <v>2308</v>
      </c>
      <c r="M361" t="s">
        <v>261</v>
      </c>
      <c r="N361" t="s">
        <v>261</v>
      </c>
      <c r="O361" t="s">
        <v>261</v>
      </c>
      <c r="P361" t="s">
        <v>261</v>
      </c>
      <c r="Q361" t="s">
        <v>261</v>
      </c>
      <c r="R361" t="s">
        <v>261</v>
      </c>
      <c r="S361" t="s">
        <v>261</v>
      </c>
      <c r="T361" t="s">
        <v>261</v>
      </c>
      <c r="U361" t="s">
        <v>261</v>
      </c>
    </row>
    <row r="362" spans="1:21">
      <c r="A362">
        <f t="shared" si="13"/>
        <v>361</v>
      </c>
      <c r="B362" s="10" t="s">
        <v>2309</v>
      </c>
      <c r="C362" s="6">
        <v>44551</v>
      </c>
      <c r="D362" t="s">
        <v>2310</v>
      </c>
      <c r="E362" t="s">
        <v>2311</v>
      </c>
      <c r="F362" t="s">
        <v>2312</v>
      </c>
      <c r="G362" t="s">
        <v>18</v>
      </c>
      <c r="H362">
        <v>1</v>
      </c>
      <c r="I362" s="8">
        <v>846</v>
      </c>
      <c r="J362" s="8">
        <f t="shared" si="12"/>
        <v>846</v>
      </c>
      <c r="K362" t="s">
        <v>708</v>
      </c>
      <c r="L362" t="s">
        <v>38</v>
      </c>
      <c r="M362" t="s">
        <v>261</v>
      </c>
      <c r="N362" t="s">
        <v>261</v>
      </c>
      <c r="O362" t="s">
        <v>261</v>
      </c>
      <c r="P362" t="s">
        <v>261</v>
      </c>
      <c r="Q362" t="s">
        <v>261</v>
      </c>
      <c r="R362" t="s">
        <v>261</v>
      </c>
      <c r="S362" t="s">
        <v>261</v>
      </c>
      <c r="T362" t="s">
        <v>261</v>
      </c>
      <c r="U362" t="s">
        <v>261</v>
      </c>
    </row>
    <row r="363" spans="1:21">
      <c r="A363">
        <f t="shared" si="13"/>
        <v>362</v>
      </c>
      <c r="B363" s="10" t="s">
        <v>2313</v>
      </c>
      <c r="C363" s="6">
        <v>44552</v>
      </c>
      <c r="D363" t="s">
        <v>2314</v>
      </c>
      <c r="E363" t="s">
        <v>2315</v>
      </c>
      <c r="F363" t="s">
        <v>2316</v>
      </c>
      <c r="G363" t="s">
        <v>18</v>
      </c>
      <c r="H363">
        <v>1</v>
      </c>
      <c r="I363" s="8">
        <v>1451.6</v>
      </c>
      <c r="J363" s="8">
        <f t="shared" si="12"/>
        <v>1451.6</v>
      </c>
      <c r="K363" t="s">
        <v>2317</v>
      </c>
      <c r="L363" t="s">
        <v>2333</v>
      </c>
      <c r="M363" t="s">
        <v>261</v>
      </c>
      <c r="N363" t="s">
        <v>261</v>
      </c>
      <c r="O363" t="s">
        <v>261</v>
      </c>
      <c r="P363" t="s">
        <v>261</v>
      </c>
      <c r="Q363" t="s">
        <v>261</v>
      </c>
      <c r="R363" t="s">
        <v>261</v>
      </c>
      <c r="S363" t="s">
        <v>261</v>
      </c>
      <c r="T363" t="s">
        <v>261</v>
      </c>
      <c r="U363" t="s">
        <v>261</v>
      </c>
    </row>
    <row r="364" spans="1:21">
      <c r="A364">
        <f t="shared" si="13"/>
        <v>363</v>
      </c>
      <c r="B364" s="10" t="s">
        <v>2318</v>
      </c>
      <c r="C364" s="6">
        <v>44552</v>
      </c>
      <c r="D364" t="s">
        <v>2319</v>
      </c>
      <c r="E364" t="s">
        <v>2320</v>
      </c>
      <c r="F364" t="s">
        <v>2321</v>
      </c>
      <c r="G364" t="s">
        <v>18</v>
      </c>
      <c r="H364">
        <v>1</v>
      </c>
      <c r="I364" s="8">
        <v>1168.5</v>
      </c>
      <c r="J364" s="8">
        <f t="shared" si="12"/>
        <v>1168.5</v>
      </c>
      <c r="K364" t="s">
        <v>2322</v>
      </c>
      <c r="L364" t="s">
        <v>2334</v>
      </c>
      <c r="M364" t="s">
        <v>261</v>
      </c>
      <c r="N364" t="s">
        <v>261</v>
      </c>
      <c r="O364" t="s">
        <v>261</v>
      </c>
      <c r="P364" t="s">
        <v>261</v>
      </c>
      <c r="Q364" t="s">
        <v>261</v>
      </c>
      <c r="R364" t="s">
        <v>261</v>
      </c>
      <c r="S364" t="s">
        <v>261</v>
      </c>
      <c r="T364" t="s">
        <v>261</v>
      </c>
      <c r="U364" t="s">
        <v>261</v>
      </c>
    </row>
    <row r="365" spans="1:21">
      <c r="A365">
        <f t="shared" si="13"/>
        <v>364</v>
      </c>
      <c r="B365" s="10" t="s">
        <v>2328</v>
      </c>
      <c r="C365" s="6">
        <v>44553</v>
      </c>
      <c r="D365" t="s">
        <v>2329</v>
      </c>
      <c r="E365" t="s">
        <v>2330</v>
      </c>
      <c r="F365" t="s">
        <v>2331</v>
      </c>
      <c r="G365" t="s">
        <v>18</v>
      </c>
      <c r="H365">
        <v>1</v>
      </c>
      <c r="I365" s="8">
        <v>2710.35</v>
      </c>
      <c r="J365" s="8">
        <f t="shared" si="12"/>
        <v>2710.35</v>
      </c>
      <c r="K365" t="s">
        <v>2332</v>
      </c>
      <c r="L365" t="s">
        <v>403</v>
      </c>
      <c r="M365" t="s">
        <v>261</v>
      </c>
      <c r="N365" t="s">
        <v>261</v>
      </c>
      <c r="O365" t="s">
        <v>261</v>
      </c>
      <c r="P365" t="s">
        <v>261</v>
      </c>
      <c r="Q365" t="s">
        <v>261</v>
      </c>
      <c r="R365" t="s">
        <v>261</v>
      </c>
      <c r="S365" t="s">
        <v>261</v>
      </c>
      <c r="T365" t="s">
        <v>261</v>
      </c>
      <c r="U365" t="s">
        <v>261</v>
      </c>
    </row>
    <row r="366" spans="1:21">
      <c r="A366">
        <f t="shared" si="13"/>
        <v>365</v>
      </c>
      <c r="B366" s="10" t="s">
        <v>2336</v>
      </c>
      <c r="C366" s="6">
        <v>44543</v>
      </c>
      <c r="D366" t="s">
        <v>2337</v>
      </c>
      <c r="E366" t="s">
        <v>2338</v>
      </c>
      <c r="F366" t="s">
        <v>2339</v>
      </c>
      <c r="G366" t="s">
        <v>18</v>
      </c>
      <c r="H366">
        <v>1</v>
      </c>
      <c r="I366" s="8">
        <v>1163.75</v>
      </c>
      <c r="J366" s="8">
        <f t="shared" si="12"/>
        <v>1163.75</v>
      </c>
      <c r="K366" t="s">
        <v>2340</v>
      </c>
      <c r="L366" t="s">
        <v>1023</v>
      </c>
      <c r="M366" t="s">
        <v>261</v>
      </c>
      <c r="N366" t="s">
        <v>261</v>
      </c>
      <c r="O366" t="s">
        <v>261</v>
      </c>
      <c r="P366" t="s">
        <v>261</v>
      </c>
      <c r="Q366" t="s">
        <v>261</v>
      </c>
      <c r="R366" t="s">
        <v>261</v>
      </c>
      <c r="S366" t="s">
        <v>261</v>
      </c>
      <c r="T366" t="s">
        <v>261</v>
      </c>
      <c r="U366" t="s">
        <v>261</v>
      </c>
    </row>
    <row r="367" spans="1:21">
      <c r="A367" s="18">
        <f t="shared" si="13"/>
        <v>366</v>
      </c>
      <c r="B367" s="10" t="s">
        <v>2341</v>
      </c>
      <c r="C367" s="6">
        <v>44557</v>
      </c>
      <c r="D367" t="s">
        <v>2342</v>
      </c>
      <c r="E367" t="s">
        <v>2343</v>
      </c>
      <c r="F367" t="s">
        <v>2344</v>
      </c>
      <c r="G367" t="s">
        <v>18</v>
      </c>
      <c r="H367">
        <v>1</v>
      </c>
      <c r="I367" s="8">
        <v>2076.4</v>
      </c>
      <c r="J367" s="8">
        <f t="shared" si="12"/>
        <v>2076.4</v>
      </c>
      <c r="K367" t="s">
        <v>2345</v>
      </c>
      <c r="L367" t="s">
        <v>323</v>
      </c>
      <c r="M367" t="s">
        <v>261</v>
      </c>
      <c r="N367" t="s">
        <v>261</v>
      </c>
      <c r="O367" t="s">
        <v>261</v>
      </c>
      <c r="P367" t="s">
        <v>261</v>
      </c>
      <c r="Q367" t="s">
        <v>261</v>
      </c>
      <c r="R367" t="s">
        <v>261</v>
      </c>
      <c r="S367" t="s">
        <v>261</v>
      </c>
      <c r="T367" t="s">
        <v>261</v>
      </c>
      <c r="U367" t="s">
        <v>261</v>
      </c>
    </row>
    <row r="368" spans="1:21">
      <c r="A368" s="21">
        <f t="shared" si="13"/>
        <v>367</v>
      </c>
      <c r="B368" s="10" t="s">
        <v>2347</v>
      </c>
      <c r="C368" s="6">
        <v>44557</v>
      </c>
      <c r="D368" t="s">
        <v>2348</v>
      </c>
      <c r="E368" t="s">
        <v>2346</v>
      </c>
      <c r="F368" t="s">
        <v>2349</v>
      </c>
      <c r="G368" t="s">
        <v>18</v>
      </c>
      <c r="H368">
        <v>2</v>
      </c>
      <c r="I368" s="8">
        <v>2025</v>
      </c>
      <c r="J368" s="8">
        <f t="shared" si="12"/>
        <v>1012.5</v>
      </c>
      <c r="K368" t="s">
        <v>2350</v>
      </c>
      <c r="L368" t="s">
        <v>1457</v>
      </c>
      <c r="M368" t="s">
        <v>261</v>
      </c>
      <c r="N368" t="s">
        <v>261</v>
      </c>
      <c r="O368" t="s">
        <v>261</v>
      </c>
      <c r="P368" t="s">
        <v>261</v>
      </c>
      <c r="Q368" t="s">
        <v>261</v>
      </c>
      <c r="R368" t="s">
        <v>261</v>
      </c>
      <c r="S368" t="s">
        <v>261</v>
      </c>
      <c r="T368" t="s">
        <v>261</v>
      </c>
      <c r="U368" t="s">
        <v>261</v>
      </c>
    </row>
    <row r="369" spans="1:21">
      <c r="A369">
        <f t="shared" si="13"/>
        <v>368</v>
      </c>
      <c r="B369" s="10" t="s">
        <v>2353</v>
      </c>
      <c r="C369" s="6">
        <v>44558</v>
      </c>
      <c r="D369" t="s">
        <v>2354</v>
      </c>
      <c r="E369" t="s">
        <v>2355</v>
      </c>
      <c r="F369" t="s">
        <v>2356</v>
      </c>
      <c r="G369" t="s">
        <v>18</v>
      </c>
      <c r="H369">
        <v>1</v>
      </c>
      <c r="I369" s="8">
        <v>3608</v>
      </c>
      <c r="J369" s="8">
        <f t="shared" si="12"/>
        <v>3608</v>
      </c>
      <c r="K369" t="s">
        <v>2357</v>
      </c>
      <c r="L369" t="s">
        <v>2363</v>
      </c>
      <c r="M369" t="s">
        <v>261</v>
      </c>
      <c r="N369" t="s">
        <v>261</v>
      </c>
      <c r="O369" t="s">
        <v>261</v>
      </c>
      <c r="P369" t="s">
        <v>261</v>
      </c>
      <c r="Q369" t="s">
        <v>261</v>
      </c>
      <c r="R369" t="s">
        <v>261</v>
      </c>
      <c r="S369" t="s">
        <v>261</v>
      </c>
      <c r="T369" t="s">
        <v>261</v>
      </c>
      <c r="U369" t="s">
        <v>261</v>
      </c>
    </row>
    <row r="370" spans="1:21">
      <c r="A370">
        <f t="shared" si="13"/>
        <v>369</v>
      </c>
      <c r="B370" s="10" t="s">
        <v>2358</v>
      </c>
      <c r="C370" s="6">
        <v>44558</v>
      </c>
      <c r="D370" t="s">
        <v>2359</v>
      </c>
      <c r="E370" t="s">
        <v>2360</v>
      </c>
      <c r="F370" t="s">
        <v>2361</v>
      </c>
      <c r="G370" t="s">
        <v>18</v>
      </c>
      <c r="H370">
        <v>1</v>
      </c>
      <c r="I370" s="8">
        <v>901</v>
      </c>
      <c r="J370" s="8">
        <f t="shared" si="12"/>
        <v>901</v>
      </c>
      <c r="K370" t="s">
        <v>2362</v>
      </c>
      <c r="L370" t="s">
        <v>323</v>
      </c>
      <c r="M370" t="s">
        <v>261</v>
      </c>
      <c r="N370" t="s">
        <v>261</v>
      </c>
      <c r="O370" t="s">
        <v>261</v>
      </c>
      <c r="P370" t="s">
        <v>261</v>
      </c>
      <c r="Q370" t="s">
        <v>261</v>
      </c>
      <c r="R370" t="s">
        <v>261</v>
      </c>
      <c r="S370" t="s">
        <v>261</v>
      </c>
      <c r="T370" t="s">
        <v>261</v>
      </c>
      <c r="U370" t="s">
        <v>261</v>
      </c>
    </row>
    <row r="371" spans="1:21">
      <c r="A371">
        <f t="shared" si="13"/>
        <v>370</v>
      </c>
      <c r="B371" s="10" t="s">
        <v>2367</v>
      </c>
      <c r="C371" s="6">
        <v>44548</v>
      </c>
      <c r="D371" t="s">
        <v>2368</v>
      </c>
      <c r="E371" t="s">
        <v>2369</v>
      </c>
      <c r="F371" t="s">
        <v>2370</v>
      </c>
      <c r="G371" t="s">
        <v>18</v>
      </c>
      <c r="H371">
        <v>1</v>
      </c>
      <c r="I371" s="8">
        <v>3123.28</v>
      </c>
      <c r="J371" s="8">
        <f t="shared" si="12"/>
        <v>3123.28</v>
      </c>
      <c r="K371" t="s">
        <v>2371</v>
      </c>
      <c r="L371" t="s">
        <v>1928</v>
      </c>
      <c r="M371" t="s">
        <v>261</v>
      </c>
      <c r="N371" t="s">
        <v>261</v>
      </c>
      <c r="O371" t="s">
        <v>261</v>
      </c>
      <c r="P371" t="s">
        <v>261</v>
      </c>
      <c r="Q371" t="s">
        <v>261</v>
      </c>
      <c r="R371" t="s">
        <v>261</v>
      </c>
      <c r="S371" t="s">
        <v>261</v>
      </c>
      <c r="T371" t="s">
        <v>261</v>
      </c>
      <c r="U371" t="s">
        <v>261</v>
      </c>
    </row>
    <row r="372" spans="1:21">
      <c r="A372">
        <f t="shared" si="13"/>
        <v>371</v>
      </c>
      <c r="B372" s="10" t="s">
        <v>2372</v>
      </c>
      <c r="C372" s="6">
        <v>44559</v>
      </c>
      <c r="D372" t="s">
        <v>2373</v>
      </c>
      <c r="E372" t="s">
        <v>2374</v>
      </c>
      <c r="F372" t="s">
        <v>2375</v>
      </c>
      <c r="G372" t="s">
        <v>18</v>
      </c>
      <c r="H372">
        <v>1</v>
      </c>
      <c r="I372" s="8">
        <v>1546.6</v>
      </c>
      <c r="J372" s="8">
        <f t="shared" si="12"/>
        <v>1546.6</v>
      </c>
      <c r="K372" t="s">
        <v>2376</v>
      </c>
      <c r="L372" t="s">
        <v>2383</v>
      </c>
      <c r="M372" t="s">
        <v>261</v>
      </c>
      <c r="N372" t="s">
        <v>261</v>
      </c>
      <c r="O372" t="s">
        <v>261</v>
      </c>
      <c r="P372" t="s">
        <v>261</v>
      </c>
      <c r="Q372" t="s">
        <v>261</v>
      </c>
      <c r="R372" t="s">
        <v>261</v>
      </c>
      <c r="S372" t="s">
        <v>261</v>
      </c>
      <c r="T372" t="s">
        <v>261</v>
      </c>
      <c r="U372" t="s">
        <v>261</v>
      </c>
    </row>
    <row r="373" spans="1:21">
      <c r="A373">
        <f t="shared" si="13"/>
        <v>372</v>
      </c>
      <c r="B373" s="10" t="s">
        <v>2378</v>
      </c>
      <c r="C373" s="6">
        <v>44560</v>
      </c>
      <c r="D373" t="s">
        <v>2379</v>
      </c>
      <c r="E373" t="s">
        <v>2380</v>
      </c>
      <c r="F373" t="s">
        <v>2381</v>
      </c>
      <c r="G373" t="s">
        <v>18</v>
      </c>
      <c r="H373">
        <v>1</v>
      </c>
      <c r="I373" s="8">
        <v>1011.75</v>
      </c>
      <c r="J373" s="8">
        <f t="shared" si="12"/>
        <v>1011.75</v>
      </c>
      <c r="K373" t="s">
        <v>2382</v>
      </c>
      <c r="L373" t="s">
        <v>323</v>
      </c>
      <c r="M373" t="s">
        <v>261</v>
      </c>
      <c r="N373" t="s">
        <v>261</v>
      </c>
      <c r="O373" t="s">
        <v>261</v>
      </c>
      <c r="P373" t="s">
        <v>261</v>
      </c>
      <c r="Q373" t="s">
        <v>261</v>
      </c>
      <c r="R373" t="s">
        <v>261</v>
      </c>
      <c r="S373" t="s">
        <v>261</v>
      </c>
      <c r="T373" t="s">
        <v>261</v>
      </c>
      <c r="U373" t="s">
        <v>261</v>
      </c>
    </row>
    <row r="374" spans="1:21">
      <c r="A374">
        <f t="shared" si="13"/>
        <v>373</v>
      </c>
      <c r="B374" s="10" t="s">
        <v>2384</v>
      </c>
      <c r="C374" s="6">
        <v>44560</v>
      </c>
      <c r="D374" t="s">
        <v>2385</v>
      </c>
      <c r="E374" t="s">
        <v>2386</v>
      </c>
      <c r="F374" t="s">
        <v>2387</v>
      </c>
      <c r="G374" t="s">
        <v>18</v>
      </c>
      <c r="H374">
        <v>1</v>
      </c>
      <c r="I374" s="8">
        <v>2271.6</v>
      </c>
      <c r="J374" s="8">
        <f t="shared" si="12"/>
        <v>2271.6</v>
      </c>
      <c r="K374" t="s">
        <v>2388</v>
      </c>
      <c r="L374" t="s">
        <v>2395</v>
      </c>
      <c r="M374" t="s">
        <v>261</v>
      </c>
      <c r="N374" t="s">
        <v>261</v>
      </c>
      <c r="O374" t="s">
        <v>261</v>
      </c>
      <c r="P374" t="s">
        <v>261</v>
      </c>
      <c r="Q374" t="s">
        <v>261</v>
      </c>
      <c r="R374" t="s">
        <v>261</v>
      </c>
      <c r="S374" t="s">
        <v>261</v>
      </c>
      <c r="T374" t="s">
        <v>261</v>
      </c>
      <c r="U374" t="s">
        <v>261</v>
      </c>
    </row>
    <row r="375" spans="1:21">
      <c r="A375">
        <f t="shared" si="13"/>
        <v>374</v>
      </c>
      <c r="B375" s="10" t="s">
        <v>2390</v>
      </c>
      <c r="C375" s="6">
        <v>44560</v>
      </c>
      <c r="D375" t="s">
        <v>2391</v>
      </c>
      <c r="E375" t="s">
        <v>2392</v>
      </c>
      <c r="F375" t="s">
        <v>2393</v>
      </c>
      <c r="G375" t="s">
        <v>18</v>
      </c>
      <c r="H375">
        <v>1</v>
      </c>
      <c r="I375" s="8">
        <v>1345.5</v>
      </c>
      <c r="J375" s="8">
        <f t="shared" si="12"/>
        <v>1345.5</v>
      </c>
      <c r="K375" t="s">
        <v>2394</v>
      </c>
      <c r="L375" t="s">
        <v>403</v>
      </c>
      <c r="M375" t="s">
        <v>261</v>
      </c>
      <c r="N375" t="s">
        <v>261</v>
      </c>
      <c r="O375" t="s">
        <v>261</v>
      </c>
      <c r="P375" t="s">
        <v>261</v>
      </c>
      <c r="Q375" t="s">
        <v>261</v>
      </c>
      <c r="R375" t="s">
        <v>261</v>
      </c>
      <c r="S375" t="s">
        <v>261</v>
      </c>
      <c r="T375" t="s">
        <v>261</v>
      </c>
      <c r="U375" t="s">
        <v>261</v>
      </c>
    </row>
    <row r="376" spans="1:21">
      <c r="A376">
        <f t="shared" si="13"/>
        <v>375</v>
      </c>
      <c r="B376" s="10" t="s">
        <v>2396</v>
      </c>
      <c r="C376" s="6">
        <v>44543</v>
      </c>
      <c r="D376" t="s">
        <v>2397</v>
      </c>
      <c r="E376" t="s">
        <v>2398</v>
      </c>
      <c r="F376" t="s">
        <v>2399</v>
      </c>
      <c r="G376" t="s">
        <v>18</v>
      </c>
      <c r="H376">
        <v>1</v>
      </c>
      <c r="I376" s="8">
        <v>1231</v>
      </c>
      <c r="J376" s="8">
        <f t="shared" si="12"/>
        <v>1231</v>
      </c>
      <c r="K376" t="s">
        <v>1579</v>
      </c>
      <c r="L376" t="s">
        <v>268</v>
      </c>
      <c r="M376" t="s">
        <v>261</v>
      </c>
      <c r="N376" t="s">
        <v>261</v>
      </c>
      <c r="O376" t="s">
        <v>261</v>
      </c>
      <c r="P376" t="s">
        <v>261</v>
      </c>
      <c r="Q376" t="s">
        <v>261</v>
      </c>
      <c r="R376" t="s">
        <v>261</v>
      </c>
      <c r="S376" t="s">
        <v>261</v>
      </c>
      <c r="T376" t="s">
        <v>261</v>
      </c>
      <c r="U376" t="s">
        <v>261</v>
      </c>
    </row>
    <row r="377" spans="1:21">
      <c r="A377">
        <f t="shared" si="13"/>
        <v>376</v>
      </c>
    </row>
    <row r="378" spans="1:21">
      <c r="A378">
        <f t="shared" si="13"/>
        <v>377</v>
      </c>
    </row>
    <row r="379" spans="1:21">
      <c r="A379">
        <f t="shared" si="13"/>
        <v>378</v>
      </c>
    </row>
    <row r="380" spans="1:21">
      <c r="A380">
        <f t="shared" si="13"/>
        <v>379</v>
      </c>
    </row>
    <row r="381" spans="1:21">
      <c r="A381">
        <f t="shared" si="13"/>
        <v>380</v>
      </c>
    </row>
    <row r="382" spans="1:21">
      <c r="A382">
        <f t="shared" si="13"/>
        <v>381</v>
      </c>
    </row>
    <row r="383" spans="1:21">
      <c r="A383">
        <f t="shared" si="13"/>
        <v>382</v>
      </c>
    </row>
    <row r="384" spans="1:21">
      <c r="A384">
        <f t="shared" si="13"/>
        <v>383</v>
      </c>
    </row>
    <row r="385" spans="1:1">
      <c r="A385">
        <f t="shared" si="13"/>
        <v>384</v>
      </c>
    </row>
    <row r="386" spans="1:1">
      <c r="A386">
        <f t="shared" si="13"/>
        <v>385</v>
      </c>
    </row>
    <row r="387" spans="1:1">
      <c r="A387">
        <f t="shared" si="13"/>
        <v>386</v>
      </c>
    </row>
    <row r="388" spans="1:1">
      <c r="A388">
        <f t="shared" si="13"/>
        <v>387</v>
      </c>
    </row>
    <row r="389" spans="1:1">
      <c r="A389">
        <f t="shared" ref="A389:A452" si="14">+A388+1</f>
        <v>388</v>
      </c>
    </row>
    <row r="390" spans="1:1">
      <c r="A390">
        <f t="shared" si="14"/>
        <v>389</v>
      </c>
    </row>
    <row r="391" spans="1:1">
      <c r="A391">
        <f t="shared" si="14"/>
        <v>390</v>
      </c>
    </row>
    <row r="392" spans="1:1">
      <c r="A392">
        <f t="shared" si="14"/>
        <v>391</v>
      </c>
    </row>
    <row r="393" spans="1:1">
      <c r="A393">
        <f t="shared" si="14"/>
        <v>392</v>
      </c>
    </row>
    <row r="394" spans="1:1">
      <c r="A394">
        <f t="shared" si="14"/>
        <v>393</v>
      </c>
    </row>
    <row r="395" spans="1:1">
      <c r="A395">
        <f t="shared" si="14"/>
        <v>394</v>
      </c>
    </row>
    <row r="396" spans="1:1">
      <c r="A396">
        <f t="shared" si="14"/>
        <v>395</v>
      </c>
    </row>
    <row r="397" spans="1:1">
      <c r="A397">
        <f t="shared" si="14"/>
        <v>396</v>
      </c>
    </row>
    <row r="398" spans="1:1">
      <c r="A398">
        <f t="shared" si="14"/>
        <v>397</v>
      </c>
    </row>
    <row r="399" spans="1:1">
      <c r="A399">
        <f t="shared" si="14"/>
        <v>398</v>
      </c>
    </row>
    <row r="400" spans="1:1">
      <c r="A400">
        <f t="shared" si="14"/>
        <v>399</v>
      </c>
    </row>
    <row r="401" spans="1:1">
      <c r="A401">
        <f t="shared" si="14"/>
        <v>400</v>
      </c>
    </row>
    <row r="402" spans="1:1">
      <c r="A402">
        <f t="shared" si="14"/>
        <v>401</v>
      </c>
    </row>
    <row r="403" spans="1:1">
      <c r="A403">
        <f t="shared" si="14"/>
        <v>402</v>
      </c>
    </row>
    <row r="404" spans="1:1">
      <c r="A404">
        <f t="shared" si="14"/>
        <v>403</v>
      </c>
    </row>
    <row r="405" spans="1:1">
      <c r="A405">
        <f t="shared" si="14"/>
        <v>404</v>
      </c>
    </row>
    <row r="406" spans="1:1">
      <c r="A406">
        <f t="shared" si="14"/>
        <v>405</v>
      </c>
    </row>
    <row r="407" spans="1:1">
      <c r="A407">
        <f t="shared" si="14"/>
        <v>406</v>
      </c>
    </row>
    <row r="408" spans="1:1">
      <c r="A408">
        <f t="shared" si="14"/>
        <v>407</v>
      </c>
    </row>
    <row r="409" spans="1:1">
      <c r="A409">
        <f t="shared" si="14"/>
        <v>408</v>
      </c>
    </row>
    <row r="410" spans="1:1">
      <c r="A410">
        <f t="shared" si="14"/>
        <v>409</v>
      </c>
    </row>
    <row r="411" spans="1:1">
      <c r="A411">
        <f t="shared" si="14"/>
        <v>410</v>
      </c>
    </row>
    <row r="412" spans="1:1">
      <c r="A412">
        <f t="shared" si="14"/>
        <v>411</v>
      </c>
    </row>
    <row r="413" spans="1:1">
      <c r="A413">
        <f t="shared" si="14"/>
        <v>412</v>
      </c>
    </row>
    <row r="414" spans="1:1">
      <c r="A414">
        <f t="shared" si="14"/>
        <v>413</v>
      </c>
    </row>
    <row r="415" spans="1:1">
      <c r="A415">
        <f t="shared" si="14"/>
        <v>414</v>
      </c>
    </row>
    <row r="416" spans="1:1">
      <c r="A416">
        <f t="shared" si="14"/>
        <v>415</v>
      </c>
    </row>
    <row r="417" spans="1:1">
      <c r="A417">
        <f t="shared" si="14"/>
        <v>416</v>
      </c>
    </row>
    <row r="418" spans="1:1">
      <c r="A418">
        <f t="shared" si="14"/>
        <v>417</v>
      </c>
    </row>
    <row r="419" spans="1:1">
      <c r="A419">
        <f t="shared" si="14"/>
        <v>418</v>
      </c>
    </row>
    <row r="420" spans="1:1">
      <c r="A420">
        <f t="shared" si="14"/>
        <v>419</v>
      </c>
    </row>
    <row r="421" spans="1:1">
      <c r="A421">
        <f t="shared" si="14"/>
        <v>420</v>
      </c>
    </row>
    <row r="422" spans="1:1">
      <c r="A422">
        <f t="shared" si="14"/>
        <v>421</v>
      </c>
    </row>
    <row r="423" spans="1:1">
      <c r="A423">
        <f t="shared" si="14"/>
        <v>422</v>
      </c>
    </row>
    <row r="424" spans="1:1">
      <c r="A424">
        <f t="shared" si="14"/>
        <v>423</v>
      </c>
    </row>
    <row r="425" spans="1:1">
      <c r="A425">
        <f t="shared" si="14"/>
        <v>424</v>
      </c>
    </row>
    <row r="426" spans="1:1">
      <c r="A426">
        <f t="shared" si="14"/>
        <v>425</v>
      </c>
    </row>
    <row r="427" spans="1:1">
      <c r="A427">
        <f t="shared" si="14"/>
        <v>426</v>
      </c>
    </row>
    <row r="428" spans="1:1">
      <c r="A428">
        <f t="shared" si="14"/>
        <v>427</v>
      </c>
    </row>
    <row r="429" spans="1:1">
      <c r="A429">
        <f t="shared" si="14"/>
        <v>428</v>
      </c>
    </row>
    <row r="430" spans="1:1">
      <c r="A430">
        <f t="shared" si="14"/>
        <v>429</v>
      </c>
    </row>
    <row r="431" spans="1:1">
      <c r="A431">
        <f t="shared" si="14"/>
        <v>430</v>
      </c>
    </row>
    <row r="432" spans="1:1">
      <c r="A432">
        <f t="shared" si="14"/>
        <v>431</v>
      </c>
    </row>
    <row r="433" spans="1:11">
      <c r="A433">
        <f t="shared" si="14"/>
        <v>432</v>
      </c>
    </row>
    <row r="434" spans="1:11">
      <c r="A434">
        <f t="shared" si="14"/>
        <v>433</v>
      </c>
    </row>
    <row r="435" spans="1:11">
      <c r="A435">
        <f t="shared" si="14"/>
        <v>434</v>
      </c>
    </row>
    <row r="436" spans="1:11">
      <c r="A436">
        <f t="shared" si="14"/>
        <v>435</v>
      </c>
    </row>
    <row r="437" spans="1:11">
      <c r="A437">
        <f t="shared" si="14"/>
        <v>436</v>
      </c>
    </row>
    <row r="438" spans="1:11">
      <c r="A438">
        <f t="shared" si="14"/>
        <v>437</v>
      </c>
    </row>
    <row r="439" spans="1:11">
      <c r="A439">
        <f t="shared" si="14"/>
        <v>438</v>
      </c>
    </row>
    <row r="440" spans="1:11">
      <c r="A440">
        <f t="shared" si="14"/>
        <v>439</v>
      </c>
    </row>
    <row r="441" spans="1:11">
      <c r="A441">
        <f t="shared" si="14"/>
        <v>440</v>
      </c>
    </row>
    <row r="442" spans="1:11">
      <c r="A442">
        <f t="shared" si="14"/>
        <v>441</v>
      </c>
    </row>
    <row r="443" spans="1:11">
      <c r="A443">
        <f t="shared" si="14"/>
        <v>442</v>
      </c>
    </row>
    <row r="444" spans="1:11">
      <c r="A444">
        <f t="shared" si="14"/>
        <v>443</v>
      </c>
    </row>
    <row r="445" spans="1:11">
      <c r="A445">
        <f t="shared" si="14"/>
        <v>444</v>
      </c>
    </row>
    <row r="446" spans="1:11">
      <c r="A446">
        <f t="shared" si="14"/>
        <v>445</v>
      </c>
      <c r="K446" t="s">
        <v>2438</v>
      </c>
    </row>
    <row r="447" spans="1:11">
      <c r="A447">
        <f t="shared" si="14"/>
        <v>446</v>
      </c>
    </row>
    <row r="448" spans="1:11">
      <c r="A448">
        <f t="shared" si="14"/>
        <v>447</v>
      </c>
    </row>
    <row r="449" spans="1:1">
      <c r="A449">
        <f t="shared" si="14"/>
        <v>448</v>
      </c>
    </row>
    <row r="450" spans="1:1">
      <c r="A450">
        <f t="shared" si="14"/>
        <v>449</v>
      </c>
    </row>
    <row r="451" spans="1:1">
      <c r="A451">
        <f t="shared" si="14"/>
        <v>450</v>
      </c>
    </row>
    <row r="452" spans="1:1">
      <c r="A452">
        <f t="shared" si="14"/>
        <v>451</v>
      </c>
    </row>
    <row r="453" spans="1:1">
      <c r="A453">
        <f t="shared" ref="A453:A516" si="15">+A452+1</f>
        <v>452</v>
      </c>
    </row>
    <row r="454" spans="1:1">
      <c r="A454">
        <f t="shared" si="15"/>
        <v>453</v>
      </c>
    </row>
    <row r="455" spans="1:1">
      <c r="A455">
        <f t="shared" si="15"/>
        <v>454</v>
      </c>
    </row>
    <row r="456" spans="1:1">
      <c r="A456">
        <f t="shared" si="15"/>
        <v>455</v>
      </c>
    </row>
    <row r="457" spans="1:1">
      <c r="A457">
        <f t="shared" si="15"/>
        <v>456</v>
      </c>
    </row>
    <row r="458" spans="1:1">
      <c r="A458">
        <f t="shared" si="15"/>
        <v>457</v>
      </c>
    </row>
    <row r="459" spans="1:1">
      <c r="A459">
        <f t="shared" si="15"/>
        <v>458</v>
      </c>
    </row>
    <row r="460" spans="1:1">
      <c r="A460">
        <f t="shared" si="15"/>
        <v>459</v>
      </c>
    </row>
    <row r="461" spans="1:1">
      <c r="A461">
        <f t="shared" si="15"/>
        <v>460</v>
      </c>
    </row>
    <row r="462" spans="1:1">
      <c r="A462">
        <f t="shared" si="15"/>
        <v>461</v>
      </c>
    </row>
    <row r="463" spans="1:1">
      <c r="A463">
        <f t="shared" si="15"/>
        <v>462</v>
      </c>
    </row>
    <row r="464" spans="1:1">
      <c r="A464">
        <f t="shared" si="15"/>
        <v>463</v>
      </c>
    </row>
    <row r="465" spans="1:1">
      <c r="A465">
        <f t="shared" si="15"/>
        <v>464</v>
      </c>
    </row>
    <row r="466" spans="1:1">
      <c r="A466">
        <f t="shared" si="15"/>
        <v>465</v>
      </c>
    </row>
    <row r="467" spans="1:1">
      <c r="A467">
        <f t="shared" si="15"/>
        <v>466</v>
      </c>
    </row>
    <row r="468" spans="1:1">
      <c r="A468">
        <f t="shared" si="15"/>
        <v>467</v>
      </c>
    </row>
    <row r="469" spans="1:1">
      <c r="A469">
        <f t="shared" si="15"/>
        <v>468</v>
      </c>
    </row>
    <row r="470" spans="1:1">
      <c r="A470">
        <f t="shared" si="15"/>
        <v>469</v>
      </c>
    </row>
    <row r="471" spans="1:1">
      <c r="A471">
        <f t="shared" si="15"/>
        <v>470</v>
      </c>
    </row>
    <row r="472" spans="1:1">
      <c r="A472">
        <f t="shared" si="15"/>
        <v>471</v>
      </c>
    </row>
    <row r="473" spans="1:1">
      <c r="A473">
        <f t="shared" si="15"/>
        <v>472</v>
      </c>
    </row>
    <row r="474" spans="1:1">
      <c r="A474">
        <f t="shared" si="15"/>
        <v>473</v>
      </c>
    </row>
    <row r="475" spans="1:1">
      <c r="A475">
        <f t="shared" si="15"/>
        <v>474</v>
      </c>
    </row>
    <row r="476" spans="1:1">
      <c r="A476">
        <f t="shared" si="15"/>
        <v>475</v>
      </c>
    </row>
    <row r="477" spans="1:1">
      <c r="A477">
        <f t="shared" si="15"/>
        <v>476</v>
      </c>
    </row>
    <row r="478" spans="1:1">
      <c r="A478">
        <f t="shared" si="15"/>
        <v>477</v>
      </c>
    </row>
    <row r="479" spans="1:1">
      <c r="A479">
        <f t="shared" si="15"/>
        <v>478</v>
      </c>
    </row>
    <row r="480" spans="1:1">
      <c r="A480">
        <f t="shared" si="15"/>
        <v>479</v>
      </c>
    </row>
    <row r="481" spans="1:1">
      <c r="A481">
        <f t="shared" si="15"/>
        <v>480</v>
      </c>
    </row>
    <row r="482" spans="1:1">
      <c r="A482">
        <f t="shared" si="15"/>
        <v>481</v>
      </c>
    </row>
    <row r="483" spans="1:1">
      <c r="A483">
        <f t="shared" si="15"/>
        <v>482</v>
      </c>
    </row>
    <row r="484" spans="1:1">
      <c r="A484">
        <f t="shared" si="15"/>
        <v>483</v>
      </c>
    </row>
    <row r="485" spans="1:1">
      <c r="A485">
        <f t="shared" si="15"/>
        <v>484</v>
      </c>
    </row>
    <row r="486" spans="1:1">
      <c r="A486">
        <f t="shared" si="15"/>
        <v>485</v>
      </c>
    </row>
    <row r="487" spans="1:1">
      <c r="A487">
        <f t="shared" si="15"/>
        <v>486</v>
      </c>
    </row>
    <row r="488" spans="1:1">
      <c r="A488">
        <f t="shared" si="15"/>
        <v>487</v>
      </c>
    </row>
    <row r="489" spans="1:1">
      <c r="A489">
        <f t="shared" si="15"/>
        <v>488</v>
      </c>
    </row>
    <row r="490" spans="1:1">
      <c r="A490">
        <f t="shared" si="15"/>
        <v>489</v>
      </c>
    </row>
    <row r="491" spans="1:1">
      <c r="A491">
        <f t="shared" si="15"/>
        <v>490</v>
      </c>
    </row>
    <row r="492" spans="1:1">
      <c r="A492">
        <f t="shared" si="15"/>
        <v>491</v>
      </c>
    </row>
    <row r="493" spans="1:1">
      <c r="A493">
        <f t="shared" si="15"/>
        <v>492</v>
      </c>
    </row>
    <row r="494" spans="1:1">
      <c r="A494">
        <f t="shared" si="15"/>
        <v>493</v>
      </c>
    </row>
    <row r="495" spans="1:1">
      <c r="A495">
        <f t="shared" si="15"/>
        <v>494</v>
      </c>
    </row>
    <row r="496" spans="1:1">
      <c r="A496">
        <f t="shared" si="15"/>
        <v>495</v>
      </c>
    </row>
    <row r="497" spans="1:1">
      <c r="A497">
        <f t="shared" si="15"/>
        <v>496</v>
      </c>
    </row>
    <row r="498" spans="1:1">
      <c r="A498">
        <f t="shared" si="15"/>
        <v>497</v>
      </c>
    </row>
    <row r="499" spans="1:1">
      <c r="A499">
        <f t="shared" si="15"/>
        <v>498</v>
      </c>
    </row>
    <row r="500" spans="1:1">
      <c r="A500">
        <f t="shared" si="15"/>
        <v>499</v>
      </c>
    </row>
    <row r="501" spans="1:1">
      <c r="A501">
        <f t="shared" si="15"/>
        <v>500</v>
      </c>
    </row>
    <row r="502" spans="1:1">
      <c r="A502">
        <f t="shared" si="15"/>
        <v>501</v>
      </c>
    </row>
    <row r="503" spans="1:1">
      <c r="A503">
        <f t="shared" si="15"/>
        <v>502</v>
      </c>
    </row>
    <row r="504" spans="1:1">
      <c r="A504">
        <f t="shared" si="15"/>
        <v>503</v>
      </c>
    </row>
    <row r="505" spans="1:1">
      <c r="A505">
        <f t="shared" si="15"/>
        <v>504</v>
      </c>
    </row>
    <row r="506" spans="1:1">
      <c r="A506">
        <f t="shared" si="15"/>
        <v>505</v>
      </c>
    </row>
    <row r="507" spans="1:1">
      <c r="A507">
        <f t="shared" si="15"/>
        <v>506</v>
      </c>
    </row>
    <row r="508" spans="1:1">
      <c r="A508">
        <f t="shared" si="15"/>
        <v>507</v>
      </c>
    </row>
    <row r="509" spans="1:1">
      <c r="A509">
        <f t="shared" si="15"/>
        <v>508</v>
      </c>
    </row>
    <row r="510" spans="1:1">
      <c r="A510">
        <f t="shared" si="15"/>
        <v>509</v>
      </c>
    </row>
    <row r="511" spans="1:1">
      <c r="A511">
        <f t="shared" si="15"/>
        <v>510</v>
      </c>
    </row>
    <row r="512" spans="1:1">
      <c r="A512">
        <f t="shared" si="15"/>
        <v>511</v>
      </c>
    </row>
    <row r="513" spans="1:1">
      <c r="A513">
        <f t="shared" si="15"/>
        <v>512</v>
      </c>
    </row>
    <row r="514" spans="1:1">
      <c r="A514">
        <f t="shared" si="15"/>
        <v>513</v>
      </c>
    </row>
    <row r="515" spans="1:1">
      <c r="A515">
        <f t="shared" si="15"/>
        <v>514</v>
      </c>
    </row>
    <row r="516" spans="1:1">
      <c r="A516">
        <f t="shared" si="15"/>
        <v>515</v>
      </c>
    </row>
    <row r="517" spans="1:1">
      <c r="A517">
        <f t="shared" ref="A517:A580" si="16">+A516+1</f>
        <v>516</v>
      </c>
    </row>
    <row r="518" spans="1:1">
      <c r="A518">
        <f t="shared" si="16"/>
        <v>517</v>
      </c>
    </row>
    <row r="519" spans="1:1">
      <c r="A519">
        <f t="shared" si="16"/>
        <v>518</v>
      </c>
    </row>
    <row r="520" spans="1:1">
      <c r="A520">
        <f t="shared" si="16"/>
        <v>519</v>
      </c>
    </row>
    <row r="521" spans="1:1">
      <c r="A521">
        <f t="shared" si="16"/>
        <v>520</v>
      </c>
    </row>
    <row r="522" spans="1:1">
      <c r="A522">
        <f t="shared" si="16"/>
        <v>521</v>
      </c>
    </row>
    <row r="523" spans="1:1">
      <c r="A523">
        <f t="shared" si="16"/>
        <v>522</v>
      </c>
    </row>
    <row r="524" spans="1:1">
      <c r="A524">
        <f t="shared" si="16"/>
        <v>523</v>
      </c>
    </row>
    <row r="525" spans="1:1">
      <c r="A525">
        <f t="shared" si="16"/>
        <v>524</v>
      </c>
    </row>
    <row r="526" spans="1:1">
      <c r="A526">
        <f t="shared" si="16"/>
        <v>525</v>
      </c>
    </row>
    <row r="527" spans="1:1">
      <c r="A527">
        <f t="shared" si="16"/>
        <v>526</v>
      </c>
    </row>
    <row r="528" spans="1:1">
      <c r="A528">
        <f t="shared" si="16"/>
        <v>527</v>
      </c>
    </row>
    <row r="529" spans="1:1">
      <c r="A529">
        <f t="shared" si="16"/>
        <v>528</v>
      </c>
    </row>
    <row r="530" spans="1:1">
      <c r="A530">
        <f t="shared" si="16"/>
        <v>529</v>
      </c>
    </row>
    <row r="531" spans="1:1">
      <c r="A531">
        <f t="shared" si="16"/>
        <v>530</v>
      </c>
    </row>
    <row r="532" spans="1:1">
      <c r="A532">
        <f t="shared" si="16"/>
        <v>531</v>
      </c>
    </row>
    <row r="533" spans="1:1">
      <c r="A533">
        <f t="shared" si="16"/>
        <v>532</v>
      </c>
    </row>
    <row r="534" spans="1:1">
      <c r="A534">
        <f t="shared" si="16"/>
        <v>533</v>
      </c>
    </row>
    <row r="535" spans="1:1">
      <c r="A535">
        <f t="shared" si="16"/>
        <v>534</v>
      </c>
    </row>
    <row r="536" spans="1:1">
      <c r="A536">
        <f t="shared" si="16"/>
        <v>535</v>
      </c>
    </row>
    <row r="537" spans="1:1">
      <c r="A537">
        <f t="shared" si="16"/>
        <v>536</v>
      </c>
    </row>
    <row r="538" spans="1:1">
      <c r="A538">
        <f t="shared" si="16"/>
        <v>537</v>
      </c>
    </row>
    <row r="539" spans="1:1">
      <c r="A539">
        <f t="shared" si="16"/>
        <v>538</v>
      </c>
    </row>
    <row r="540" spans="1:1">
      <c r="A540">
        <f t="shared" si="16"/>
        <v>539</v>
      </c>
    </row>
    <row r="541" spans="1:1">
      <c r="A541">
        <f t="shared" si="16"/>
        <v>540</v>
      </c>
    </row>
    <row r="542" spans="1:1">
      <c r="A542">
        <f t="shared" si="16"/>
        <v>541</v>
      </c>
    </row>
    <row r="543" spans="1:1">
      <c r="A543">
        <f t="shared" si="16"/>
        <v>542</v>
      </c>
    </row>
    <row r="544" spans="1:1">
      <c r="A544">
        <f t="shared" si="16"/>
        <v>543</v>
      </c>
    </row>
    <row r="545" spans="1:1">
      <c r="A545">
        <f t="shared" si="16"/>
        <v>544</v>
      </c>
    </row>
    <row r="546" spans="1:1">
      <c r="A546">
        <f t="shared" si="16"/>
        <v>545</v>
      </c>
    </row>
    <row r="547" spans="1:1">
      <c r="A547">
        <f t="shared" si="16"/>
        <v>546</v>
      </c>
    </row>
    <row r="548" spans="1:1">
      <c r="A548">
        <f t="shared" si="16"/>
        <v>547</v>
      </c>
    </row>
    <row r="549" spans="1:1">
      <c r="A549">
        <f t="shared" si="16"/>
        <v>548</v>
      </c>
    </row>
    <row r="550" spans="1:1">
      <c r="A550">
        <f t="shared" si="16"/>
        <v>549</v>
      </c>
    </row>
    <row r="551" spans="1:1">
      <c r="A551">
        <f t="shared" si="16"/>
        <v>550</v>
      </c>
    </row>
    <row r="552" spans="1:1">
      <c r="A552">
        <f t="shared" si="16"/>
        <v>551</v>
      </c>
    </row>
    <row r="553" spans="1:1">
      <c r="A553">
        <f t="shared" si="16"/>
        <v>552</v>
      </c>
    </row>
    <row r="554" spans="1:1">
      <c r="A554">
        <f t="shared" si="16"/>
        <v>553</v>
      </c>
    </row>
    <row r="555" spans="1:1">
      <c r="A555">
        <f t="shared" si="16"/>
        <v>554</v>
      </c>
    </row>
    <row r="556" spans="1:1">
      <c r="A556">
        <f t="shared" si="16"/>
        <v>555</v>
      </c>
    </row>
    <row r="557" spans="1:1">
      <c r="A557">
        <f t="shared" si="16"/>
        <v>556</v>
      </c>
    </row>
    <row r="558" spans="1:1">
      <c r="A558">
        <f t="shared" si="16"/>
        <v>557</v>
      </c>
    </row>
    <row r="559" spans="1:1">
      <c r="A559">
        <f t="shared" si="16"/>
        <v>558</v>
      </c>
    </row>
    <row r="560" spans="1:1">
      <c r="A560">
        <f t="shared" si="16"/>
        <v>559</v>
      </c>
    </row>
    <row r="561" spans="1:1">
      <c r="A561">
        <f t="shared" si="16"/>
        <v>560</v>
      </c>
    </row>
    <row r="562" spans="1:1">
      <c r="A562">
        <f t="shared" si="16"/>
        <v>561</v>
      </c>
    </row>
    <row r="563" spans="1:1">
      <c r="A563">
        <f t="shared" si="16"/>
        <v>562</v>
      </c>
    </row>
    <row r="564" spans="1:1">
      <c r="A564">
        <f t="shared" si="16"/>
        <v>563</v>
      </c>
    </row>
    <row r="565" spans="1:1">
      <c r="A565">
        <f t="shared" si="16"/>
        <v>564</v>
      </c>
    </row>
    <row r="566" spans="1:1">
      <c r="A566">
        <f t="shared" si="16"/>
        <v>565</v>
      </c>
    </row>
    <row r="567" spans="1:1">
      <c r="A567">
        <f t="shared" si="16"/>
        <v>566</v>
      </c>
    </row>
    <row r="568" spans="1:1">
      <c r="A568">
        <f t="shared" si="16"/>
        <v>567</v>
      </c>
    </row>
    <row r="569" spans="1:1">
      <c r="A569">
        <f t="shared" si="16"/>
        <v>568</v>
      </c>
    </row>
    <row r="570" spans="1:1">
      <c r="A570">
        <f t="shared" si="16"/>
        <v>569</v>
      </c>
    </row>
    <row r="571" spans="1:1">
      <c r="A571">
        <f t="shared" si="16"/>
        <v>570</v>
      </c>
    </row>
    <row r="572" spans="1:1">
      <c r="A572">
        <f t="shared" si="16"/>
        <v>571</v>
      </c>
    </row>
    <row r="573" spans="1:1">
      <c r="A573">
        <f t="shared" si="16"/>
        <v>572</v>
      </c>
    </row>
    <row r="574" spans="1:1">
      <c r="A574">
        <f t="shared" si="16"/>
        <v>573</v>
      </c>
    </row>
    <row r="575" spans="1:1">
      <c r="A575">
        <f t="shared" si="16"/>
        <v>574</v>
      </c>
    </row>
    <row r="576" spans="1:1">
      <c r="A576">
        <f t="shared" si="16"/>
        <v>575</v>
      </c>
    </row>
    <row r="577" spans="1:1">
      <c r="A577">
        <f t="shared" si="16"/>
        <v>576</v>
      </c>
    </row>
    <row r="578" spans="1:1">
      <c r="A578">
        <f t="shared" si="16"/>
        <v>577</v>
      </c>
    </row>
    <row r="579" spans="1:1">
      <c r="A579">
        <f t="shared" si="16"/>
        <v>578</v>
      </c>
    </row>
    <row r="580" spans="1:1">
      <c r="A580">
        <f t="shared" si="16"/>
        <v>579</v>
      </c>
    </row>
    <row r="581" spans="1:1">
      <c r="A581">
        <f t="shared" ref="A581:A644" si="17">+A580+1</f>
        <v>580</v>
      </c>
    </row>
    <row r="582" spans="1:1">
      <c r="A582">
        <f t="shared" si="17"/>
        <v>581</v>
      </c>
    </row>
    <row r="583" spans="1:1">
      <c r="A583">
        <f t="shared" si="17"/>
        <v>582</v>
      </c>
    </row>
    <row r="584" spans="1:1">
      <c r="A584">
        <f t="shared" si="17"/>
        <v>583</v>
      </c>
    </row>
    <row r="585" spans="1:1">
      <c r="A585">
        <f t="shared" si="17"/>
        <v>584</v>
      </c>
    </row>
    <row r="586" spans="1:1">
      <c r="A586">
        <f t="shared" si="17"/>
        <v>585</v>
      </c>
    </row>
    <row r="587" spans="1:1">
      <c r="A587">
        <f t="shared" si="17"/>
        <v>586</v>
      </c>
    </row>
    <row r="588" spans="1:1">
      <c r="A588">
        <f t="shared" si="17"/>
        <v>587</v>
      </c>
    </row>
    <row r="589" spans="1:1">
      <c r="A589">
        <f t="shared" si="17"/>
        <v>588</v>
      </c>
    </row>
    <row r="590" spans="1:1">
      <c r="A590">
        <f t="shared" si="17"/>
        <v>589</v>
      </c>
    </row>
    <row r="591" spans="1:1">
      <c r="A591">
        <f t="shared" si="17"/>
        <v>590</v>
      </c>
    </row>
    <row r="592" spans="1:1">
      <c r="A592">
        <f t="shared" si="17"/>
        <v>591</v>
      </c>
    </row>
    <row r="593" spans="1:1">
      <c r="A593">
        <f t="shared" si="17"/>
        <v>592</v>
      </c>
    </row>
    <row r="594" spans="1:1">
      <c r="A594">
        <f t="shared" si="17"/>
        <v>593</v>
      </c>
    </row>
    <row r="595" spans="1:1">
      <c r="A595">
        <f t="shared" si="17"/>
        <v>594</v>
      </c>
    </row>
    <row r="596" spans="1:1">
      <c r="A596">
        <f t="shared" si="17"/>
        <v>595</v>
      </c>
    </row>
    <row r="597" spans="1:1">
      <c r="A597">
        <f t="shared" si="17"/>
        <v>596</v>
      </c>
    </row>
    <row r="598" spans="1:1">
      <c r="A598">
        <f t="shared" si="17"/>
        <v>597</v>
      </c>
    </row>
    <row r="599" spans="1:1">
      <c r="A599">
        <f t="shared" si="17"/>
        <v>598</v>
      </c>
    </row>
    <row r="600" spans="1:1">
      <c r="A600">
        <f t="shared" si="17"/>
        <v>599</v>
      </c>
    </row>
    <row r="601" spans="1:1">
      <c r="A601">
        <f t="shared" si="17"/>
        <v>600</v>
      </c>
    </row>
    <row r="602" spans="1:1">
      <c r="A602">
        <f t="shared" si="17"/>
        <v>601</v>
      </c>
    </row>
    <row r="603" spans="1:1">
      <c r="A603">
        <f t="shared" si="17"/>
        <v>602</v>
      </c>
    </row>
    <row r="604" spans="1:1">
      <c r="A604">
        <f t="shared" si="17"/>
        <v>603</v>
      </c>
    </row>
    <row r="605" spans="1:1">
      <c r="A605">
        <f t="shared" si="17"/>
        <v>604</v>
      </c>
    </row>
    <row r="606" spans="1:1">
      <c r="A606">
        <f t="shared" si="17"/>
        <v>605</v>
      </c>
    </row>
    <row r="607" spans="1:1">
      <c r="A607">
        <f t="shared" si="17"/>
        <v>606</v>
      </c>
    </row>
    <row r="608" spans="1:1">
      <c r="A608">
        <f t="shared" si="17"/>
        <v>607</v>
      </c>
    </row>
    <row r="609" spans="1:1">
      <c r="A609">
        <f t="shared" si="17"/>
        <v>608</v>
      </c>
    </row>
    <row r="610" spans="1:1">
      <c r="A610">
        <f t="shared" si="17"/>
        <v>609</v>
      </c>
    </row>
    <row r="611" spans="1:1">
      <c r="A611">
        <f t="shared" si="17"/>
        <v>610</v>
      </c>
    </row>
    <row r="612" spans="1:1">
      <c r="A612">
        <f t="shared" si="17"/>
        <v>611</v>
      </c>
    </row>
    <row r="613" spans="1:1">
      <c r="A613">
        <f t="shared" si="17"/>
        <v>612</v>
      </c>
    </row>
    <row r="614" spans="1:1">
      <c r="A614">
        <f t="shared" si="17"/>
        <v>613</v>
      </c>
    </row>
    <row r="615" spans="1:1">
      <c r="A615">
        <f t="shared" si="17"/>
        <v>614</v>
      </c>
    </row>
    <row r="616" spans="1:1">
      <c r="A616">
        <f t="shared" si="17"/>
        <v>615</v>
      </c>
    </row>
    <row r="617" spans="1:1">
      <c r="A617">
        <f t="shared" si="17"/>
        <v>616</v>
      </c>
    </row>
    <row r="618" spans="1:1">
      <c r="A618">
        <f t="shared" si="17"/>
        <v>617</v>
      </c>
    </row>
    <row r="619" spans="1:1">
      <c r="A619">
        <f t="shared" si="17"/>
        <v>618</v>
      </c>
    </row>
    <row r="620" spans="1:1">
      <c r="A620">
        <f t="shared" si="17"/>
        <v>619</v>
      </c>
    </row>
    <row r="621" spans="1:1">
      <c r="A621">
        <f t="shared" si="17"/>
        <v>620</v>
      </c>
    </row>
    <row r="622" spans="1:1">
      <c r="A622">
        <f t="shared" si="17"/>
        <v>621</v>
      </c>
    </row>
    <row r="623" spans="1:1">
      <c r="A623">
        <f t="shared" si="17"/>
        <v>622</v>
      </c>
    </row>
    <row r="624" spans="1:1">
      <c r="A624">
        <f t="shared" si="17"/>
        <v>623</v>
      </c>
    </row>
    <row r="625" spans="1:1">
      <c r="A625">
        <f t="shared" si="17"/>
        <v>624</v>
      </c>
    </row>
    <row r="626" spans="1:1">
      <c r="A626">
        <f t="shared" si="17"/>
        <v>625</v>
      </c>
    </row>
    <row r="627" spans="1:1">
      <c r="A627">
        <f t="shared" si="17"/>
        <v>626</v>
      </c>
    </row>
    <row r="628" spans="1:1">
      <c r="A628">
        <f t="shared" si="17"/>
        <v>627</v>
      </c>
    </row>
    <row r="629" spans="1:1">
      <c r="A629">
        <f t="shared" si="17"/>
        <v>628</v>
      </c>
    </row>
    <row r="630" spans="1:1">
      <c r="A630">
        <f t="shared" si="17"/>
        <v>629</v>
      </c>
    </row>
    <row r="631" spans="1:1">
      <c r="A631">
        <f t="shared" si="17"/>
        <v>630</v>
      </c>
    </row>
    <row r="632" spans="1:1">
      <c r="A632">
        <f t="shared" si="17"/>
        <v>631</v>
      </c>
    </row>
    <row r="633" spans="1:1">
      <c r="A633">
        <f t="shared" si="17"/>
        <v>632</v>
      </c>
    </row>
    <row r="634" spans="1:1">
      <c r="A634">
        <f t="shared" si="17"/>
        <v>633</v>
      </c>
    </row>
    <row r="635" spans="1:1">
      <c r="A635">
        <f t="shared" si="17"/>
        <v>634</v>
      </c>
    </row>
    <row r="636" spans="1:1">
      <c r="A636">
        <f t="shared" si="17"/>
        <v>635</v>
      </c>
    </row>
    <row r="637" spans="1:1">
      <c r="A637">
        <f t="shared" si="17"/>
        <v>636</v>
      </c>
    </row>
    <row r="638" spans="1:1">
      <c r="A638">
        <f t="shared" si="17"/>
        <v>637</v>
      </c>
    </row>
    <row r="639" spans="1:1">
      <c r="A639">
        <f t="shared" si="17"/>
        <v>638</v>
      </c>
    </row>
    <row r="640" spans="1:1">
      <c r="A640">
        <f t="shared" si="17"/>
        <v>639</v>
      </c>
    </row>
    <row r="641" spans="1:1">
      <c r="A641">
        <f t="shared" si="17"/>
        <v>640</v>
      </c>
    </row>
    <row r="642" spans="1:1">
      <c r="A642">
        <f t="shared" si="17"/>
        <v>641</v>
      </c>
    </row>
    <row r="643" spans="1:1">
      <c r="A643">
        <f t="shared" si="17"/>
        <v>642</v>
      </c>
    </row>
    <row r="644" spans="1:1">
      <c r="A644">
        <f t="shared" si="17"/>
        <v>643</v>
      </c>
    </row>
    <row r="645" spans="1:1">
      <c r="A645">
        <f t="shared" ref="A645:A708" si="18">+A644+1</f>
        <v>644</v>
      </c>
    </row>
    <row r="646" spans="1:1">
      <c r="A646">
        <f t="shared" si="18"/>
        <v>645</v>
      </c>
    </row>
    <row r="647" spans="1:1">
      <c r="A647">
        <f t="shared" si="18"/>
        <v>646</v>
      </c>
    </row>
    <row r="648" spans="1:1">
      <c r="A648">
        <f t="shared" si="18"/>
        <v>647</v>
      </c>
    </row>
    <row r="649" spans="1:1">
      <c r="A649">
        <f t="shared" si="18"/>
        <v>648</v>
      </c>
    </row>
    <row r="650" spans="1:1">
      <c r="A650">
        <f t="shared" si="18"/>
        <v>649</v>
      </c>
    </row>
    <row r="651" spans="1:1">
      <c r="A651">
        <f t="shared" si="18"/>
        <v>650</v>
      </c>
    </row>
    <row r="652" spans="1:1">
      <c r="A652">
        <f t="shared" si="18"/>
        <v>651</v>
      </c>
    </row>
    <row r="653" spans="1:1">
      <c r="A653">
        <f t="shared" si="18"/>
        <v>652</v>
      </c>
    </row>
    <row r="654" spans="1:1">
      <c r="A654">
        <f t="shared" si="18"/>
        <v>653</v>
      </c>
    </row>
    <row r="655" spans="1:1">
      <c r="A655">
        <f t="shared" si="18"/>
        <v>654</v>
      </c>
    </row>
    <row r="656" spans="1:1">
      <c r="A656">
        <f t="shared" si="18"/>
        <v>655</v>
      </c>
    </row>
    <row r="657" spans="1:1">
      <c r="A657">
        <f t="shared" si="18"/>
        <v>656</v>
      </c>
    </row>
    <row r="658" spans="1:1">
      <c r="A658">
        <f t="shared" si="18"/>
        <v>657</v>
      </c>
    </row>
    <row r="659" spans="1:1">
      <c r="A659">
        <f t="shared" si="18"/>
        <v>658</v>
      </c>
    </row>
    <row r="660" spans="1:1">
      <c r="A660">
        <f t="shared" si="18"/>
        <v>659</v>
      </c>
    </row>
    <row r="661" spans="1:1">
      <c r="A661">
        <f t="shared" si="18"/>
        <v>660</v>
      </c>
    </row>
    <row r="662" spans="1:1">
      <c r="A662">
        <f t="shared" si="18"/>
        <v>661</v>
      </c>
    </row>
    <row r="663" spans="1:1">
      <c r="A663">
        <f t="shared" si="18"/>
        <v>662</v>
      </c>
    </row>
    <row r="664" spans="1:1">
      <c r="A664">
        <f t="shared" si="18"/>
        <v>663</v>
      </c>
    </row>
    <row r="665" spans="1:1">
      <c r="A665">
        <f t="shared" si="18"/>
        <v>664</v>
      </c>
    </row>
    <row r="666" spans="1:1">
      <c r="A666">
        <f t="shared" si="18"/>
        <v>665</v>
      </c>
    </row>
    <row r="667" spans="1:1">
      <c r="A667">
        <f t="shared" si="18"/>
        <v>666</v>
      </c>
    </row>
    <row r="668" spans="1:1">
      <c r="A668">
        <f t="shared" si="18"/>
        <v>667</v>
      </c>
    </row>
    <row r="669" spans="1:1">
      <c r="A669">
        <f t="shared" si="18"/>
        <v>668</v>
      </c>
    </row>
    <row r="670" spans="1:1">
      <c r="A670">
        <f t="shared" si="18"/>
        <v>669</v>
      </c>
    </row>
    <row r="671" spans="1:1">
      <c r="A671">
        <f t="shared" si="18"/>
        <v>670</v>
      </c>
    </row>
    <row r="672" spans="1:1">
      <c r="A672">
        <f t="shared" si="18"/>
        <v>671</v>
      </c>
    </row>
    <row r="673" spans="1:1">
      <c r="A673">
        <f t="shared" si="18"/>
        <v>672</v>
      </c>
    </row>
    <row r="674" spans="1:1">
      <c r="A674">
        <f t="shared" si="18"/>
        <v>673</v>
      </c>
    </row>
    <row r="675" spans="1:1">
      <c r="A675">
        <f t="shared" si="18"/>
        <v>674</v>
      </c>
    </row>
    <row r="676" spans="1:1">
      <c r="A676">
        <f t="shared" si="18"/>
        <v>675</v>
      </c>
    </row>
    <row r="677" spans="1:1">
      <c r="A677">
        <f t="shared" si="18"/>
        <v>676</v>
      </c>
    </row>
    <row r="678" spans="1:1">
      <c r="A678">
        <f t="shared" si="18"/>
        <v>677</v>
      </c>
    </row>
    <row r="679" spans="1:1">
      <c r="A679">
        <f t="shared" si="18"/>
        <v>678</v>
      </c>
    </row>
    <row r="680" spans="1:1">
      <c r="A680">
        <f t="shared" si="18"/>
        <v>679</v>
      </c>
    </row>
    <row r="681" spans="1:1">
      <c r="A681">
        <f t="shared" si="18"/>
        <v>680</v>
      </c>
    </row>
    <row r="682" spans="1:1">
      <c r="A682">
        <f t="shared" si="18"/>
        <v>681</v>
      </c>
    </row>
    <row r="683" spans="1:1">
      <c r="A683">
        <f t="shared" si="18"/>
        <v>682</v>
      </c>
    </row>
    <row r="684" spans="1:1">
      <c r="A684">
        <f t="shared" si="18"/>
        <v>683</v>
      </c>
    </row>
    <row r="685" spans="1:1">
      <c r="A685">
        <f t="shared" si="18"/>
        <v>684</v>
      </c>
    </row>
    <row r="686" spans="1:1">
      <c r="A686">
        <f t="shared" si="18"/>
        <v>685</v>
      </c>
    </row>
    <row r="687" spans="1:1">
      <c r="A687">
        <f t="shared" si="18"/>
        <v>686</v>
      </c>
    </row>
    <row r="688" spans="1:1">
      <c r="A688">
        <f t="shared" si="18"/>
        <v>687</v>
      </c>
    </row>
    <row r="689" spans="1:1">
      <c r="A689">
        <f t="shared" si="18"/>
        <v>688</v>
      </c>
    </row>
    <row r="690" spans="1:1">
      <c r="A690">
        <f t="shared" si="18"/>
        <v>689</v>
      </c>
    </row>
    <row r="691" spans="1:1">
      <c r="A691">
        <f t="shared" si="18"/>
        <v>690</v>
      </c>
    </row>
    <row r="692" spans="1:1">
      <c r="A692">
        <f t="shared" si="18"/>
        <v>691</v>
      </c>
    </row>
    <row r="693" spans="1:1">
      <c r="A693">
        <f t="shared" si="18"/>
        <v>692</v>
      </c>
    </row>
    <row r="694" spans="1:1">
      <c r="A694">
        <f t="shared" si="18"/>
        <v>693</v>
      </c>
    </row>
    <row r="695" spans="1:1">
      <c r="A695">
        <f t="shared" si="18"/>
        <v>694</v>
      </c>
    </row>
    <row r="696" spans="1:1">
      <c r="A696">
        <f t="shared" si="18"/>
        <v>695</v>
      </c>
    </row>
    <row r="697" spans="1:1">
      <c r="A697">
        <f t="shared" si="18"/>
        <v>696</v>
      </c>
    </row>
    <row r="698" spans="1:1">
      <c r="A698">
        <f t="shared" si="18"/>
        <v>697</v>
      </c>
    </row>
    <row r="699" spans="1:1">
      <c r="A699">
        <f t="shared" si="18"/>
        <v>698</v>
      </c>
    </row>
    <row r="700" spans="1:1">
      <c r="A700">
        <f t="shared" si="18"/>
        <v>699</v>
      </c>
    </row>
    <row r="701" spans="1:1">
      <c r="A701">
        <f t="shared" si="18"/>
        <v>700</v>
      </c>
    </row>
    <row r="702" spans="1:1">
      <c r="A702">
        <f t="shared" si="18"/>
        <v>701</v>
      </c>
    </row>
    <row r="703" spans="1:1">
      <c r="A703">
        <f t="shared" si="18"/>
        <v>702</v>
      </c>
    </row>
    <row r="704" spans="1:1">
      <c r="A704">
        <f t="shared" si="18"/>
        <v>703</v>
      </c>
    </row>
    <row r="705" spans="1:1">
      <c r="A705">
        <f t="shared" si="18"/>
        <v>704</v>
      </c>
    </row>
    <row r="706" spans="1:1">
      <c r="A706">
        <f t="shared" si="18"/>
        <v>705</v>
      </c>
    </row>
    <row r="707" spans="1:1">
      <c r="A707">
        <f t="shared" si="18"/>
        <v>706</v>
      </c>
    </row>
    <row r="708" spans="1:1">
      <c r="A708">
        <f t="shared" si="18"/>
        <v>707</v>
      </c>
    </row>
    <row r="709" spans="1:1">
      <c r="A709">
        <f t="shared" ref="A709:A772" si="19">+A708+1</f>
        <v>708</v>
      </c>
    </row>
    <row r="710" spans="1:1">
      <c r="A710">
        <f t="shared" si="19"/>
        <v>709</v>
      </c>
    </row>
    <row r="711" spans="1:1">
      <c r="A711">
        <f t="shared" si="19"/>
        <v>710</v>
      </c>
    </row>
    <row r="712" spans="1:1">
      <c r="A712">
        <f t="shared" si="19"/>
        <v>711</v>
      </c>
    </row>
    <row r="713" spans="1:1">
      <c r="A713">
        <f t="shared" si="19"/>
        <v>712</v>
      </c>
    </row>
    <row r="714" spans="1:1">
      <c r="A714">
        <f t="shared" si="19"/>
        <v>713</v>
      </c>
    </row>
    <row r="715" spans="1:1">
      <c r="A715">
        <f t="shared" si="19"/>
        <v>714</v>
      </c>
    </row>
    <row r="716" spans="1:1">
      <c r="A716">
        <f t="shared" si="19"/>
        <v>715</v>
      </c>
    </row>
    <row r="717" spans="1:1">
      <c r="A717">
        <f t="shared" si="19"/>
        <v>716</v>
      </c>
    </row>
    <row r="718" spans="1:1">
      <c r="A718">
        <f t="shared" si="19"/>
        <v>717</v>
      </c>
    </row>
    <row r="719" spans="1:1">
      <c r="A719">
        <f t="shared" si="19"/>
        <v>718</v>
      </c>
    </row>
    <row r="720" spans="1:1">
      <c r="A720">
        <f t="shared" si="19"/>
        <v>719</v>
      </c>
    </row>
    <row r="721" spans="1:1">
      <c r="A721">
        <f t="shared" si="19"/>
        <v>720</v>
      </c>
    </row>
    <row r="722" spans="1:1">
      <c r="A722">
        <f t="shared" si="19"/>
        <v>721</v>
      </c>
    </row>
    <row r="723" spans="1:1">
      <c r="A723">
        <f t="shared" si="19"/>
        <v>722</v>
      </c>
    </row>
    <row r="724" spans="1:1">
      <c r="A724">
        <f t="shared" si="19"/>
        <v>723</v>
      </c>
    </row>
    <row r="725" spans="1:1">
      <c r="A725">
        <f t="shared" si="19"/>
        <v>724</v>
      </c>
    </row>
    <row r="726" spans="1:1">
      <c r="A726">
        <f t="shared" si="19"/>
        <v>725</v>
      </c>
    </row>
    <row r="727" spans="1:1">
      <c r="A727">
        <f t="shared" si="19"/>
        <v>726</v>
      </c>
    </row>
    <row r="728" spans="1:1">
      <c r="A728">
        <f t="shared" si="19"/>
        <v>727</v>
      </c>
    </row>
    <row r="729" spans="1:1">
      <c r="A729">
        <f t="shared" si="19"/>
        <v>728</v>
      </c>
    </row>
    <row r="730" spans="1:1">
      <c r="A730">
        <f t="shared" si="19"/>
        <v>729</v>
      </c>
    </row>
    <row r="731" spans="1:1">
      <c r="A731">
        <f t="shared" si="19"/>
        <v>730</v>
      </c>
    </row>
    <row r="732" spans="1:1">
      <c r="A732">
        <f t="shared" si="19"/>
        <v>731</v>
      </c>
    </row>
    <row r="733" spans="1:1">
      <c r="A733">
        <f t="shared" si="19"/>
        <v>732</v>
      </c>
    </row>
    <row r="734" spans="1:1">
      <c r="A734">
        <f t="shared" si="19"/>
        <v>733</v>
      </c>
    </row>
    <row r="735" spans="1:1">
      <c r="A735">
        <f t="shared" si="19"/>
        <v>734</v>
      </c>
    </row>
    <row r="736" spans="1:1">
      <c r="A736">
        <f t="shared" si="19"/>
        <v>735</v>
      </c>
    </row>
    <row r="737" spans="1:1">
      <c r="A737">
        <f t="shared" si="19"/>
        <v>736</v>
      </c>
    </row>
    <row r="738" spans="1:1">
      <c r="A738">
        <f t="shared" si="19"/>
        <v>737</v>
      </c>
    </row>
    <row r="739" spans="1:1">
      <c r="A739">
        <f t="shared" si="19"/>
        <v>738</v>
      </c>
    </row>
    <row r="740" spans="1:1">
      <c r="A740">
        <f t="shared" si="19"/>
        <v>739</v>
      </c>
    </row>
    <row r="741" spans="1:1">
      <c r="A741">
        <f t="shared" si="19"/>
        <v>740</v>
      </c>
    </row>
    <row r="742" spans="1:1">
      <c r="A742">
        <f t="shared" si="19"/>
        <v>741</v>
      </c>
    </row>
    <row r="743" spans="1:1">
      <c r="A743">
        <f t="shared" si="19"/>
        <v>742</v>
      </c>
    </row>
    <row r="744" spans="1:1">
      <c r="A744">
        <f t="shared" si="19"/>
        <v>743</v>
      </c>
    </row>
    <row r="745" spans="1:1">
      <c r="A745">
        <f t="shared" si="19"/>
        <v>744</v>
      </c>
    </row>
    <row r="746" spans="1:1">
      <c r="A746">
        <f t="shared" si="19"/>
        <v>745</v>
      </c>
    </row>
    <row r="747" spans="1:1">
      <c r="A747">
        <f t="shared" si="19"/>
        <v>746</v>
      </c>
    </row>
    <row r="748" spans="1:1">
      <c r="A748">
        <f t="shared" si="19"/>
        <v>747</v>
      </c>
    </row>
    <row r="749" spans="1:1">
      <c r="A749">
        <f t="shared" si="19"/>
        <v>748</v>
      </c>
    </row>
    <row r="750" spans="1:1">
      <c r="A750">
        <f t="shared" si="19"/>
        <v>749</v>
      </c>
    </row>
    <row r="751" spans="1:1">
      <c r="A751">
        <f t="shared" si="19"/>
        <v>750</v>
      </c>
    </row>
    <row r="752" spans="1:1">
      <c r="A752">
        <f t="shared" si="19"/>
        <v>751</v>
      </c>
    </row>
    <row r="753" spans="1:1">
      <c r="A753">
        <f t="shared" si="19"/>
        <v>752</v>
      </c>
    </row>
    <row r="754" spans="1:1">
      <c r="A754">
        <f t="shared" si="19"/>
        <v>753</v>
      </c>
    </row>
    <row r="755" spans="1:1">
      <c r="A755">
        <f t="shared" si="19"/>
        <v>754</v>
      </c>
    </row>
    <row r="756" spans="1:1">
      <c r="A756">
        <f t="shared" si="19"/>
        <v>755</v>
      </c>
    </row>
    <row r="757" spans="1:1">
      <c r="A757">
        <f t="shared" si="19"/>
        <v>756</v>
      </c>
    </row>
    <row r="758" spans="1:1">
      <c r="A758">
        <f t="shared" si="19"/>
        <v>757</v>
      </c>
    </row>
    <row r="759" spans="1:1">
      <c r="A759">
        <f t="shared" si="19"/>
        <v>758</v>
      </c>
    </row>
    <row r="760" spans="1:1">
      <c r="A760">
        <f t="shared" si="19"/>
        <v>759</v>
      </c>
    </row>
    <row r="761" spans="1:1">
      <c r="A761">
        <f t="shared" si="19"/>
        <v>760</v>
      </c>
    </row>
    <row r="762" spans="1:1">
      <c r="A762">
        <f t="shared" si="19"/>
        <v>761</v>
      </c>
    </row>
    <row r="763" spans="1:1">
      <c r="A763">
        <f t="shared" si="19"/>
        <v>762</v>
      </c>
    </row>
    <row r="764" spans="1:1">
      <c r="A764">
        <f t="shared" si="19"/>
        <v>763</v>
      </c>
    </row>
    <row r="765" spans="1:1">
      <c r="A765">
        <f t="shared" si="19"/>
        <v>764</v>
      </c>
    </row>
    <row r="766" spans="1:1">
      <c r="A766">
        <f t="shared" si="19"/>
        <v>765</v>
      </c>
    </row>
    <row r="767" spans="1:1">
      <c r="A767">
        <f t="shared" si="19"/>
        <v>766</v>
      </c>
    </row>
    <row r="768" spans="1:1">
      <c r="A768">
        <f t="shared" si="19"/>
        <v>767</v>
      </c>
    </row>
    <row r="769" spans="1:1">
      <c r="A769">
        <f t="shared" si="19"/>
        <v>768</v>
      </c>
    </row>
    <row r="770" spans="1:1">
      <c r="A770">
        <f t="shared" si="19"/>
        <v>769</v>
      </c>
    </row>
    <row r="771" spans="1:1">
      <c r="A771">
        <f t="shared" si="19"/>
        <v>770</v>
      </c>
    </row>
    <row r="772" spans="1:1">
      <c r="A772">
        <f t="shared" si="19"/>
        <v>771</v>
      </c>
    </row>
    <row r="773" spans="1:1">
      <c r="A773">
        <f t="shared" ref="A773:A836" si="20">+A772+1</f>
        <v>772</v>
      </c>
    </row>
    <row r="774" spans="1:1">
      <c r="A774">
        <f t="shared" si="20"/>
        <v>773</v>
      </c>
    </row>
    <row r="775" spans="1:1">
      <c r="A775">
        <f t="shared" si="20"/>
        <v>774</v>
      </c>
    </row>
    <row r="776" spans="1:1">
      <c r="A776">
        <f t="shared" si="20"/>
        <v>775</v>
      </c>
    </row>
    <row r="777" spans="1:1">
      <c r="A777">
        <f t="shared" si="20"/>
        <v>776</v>
      </c>
    </row>
    <row r="778" spans="1:1">
      <c r="A778">
        <f t="shared" si="20"/>
        <v>777</v>
      </c>
    </row>
    <row r="779" spans="1:1">
      <c r="A779">
        <f t="shared" si="20"/>
        <v>778</v>
      </c>
    </row>
    <row r="780" spans="1:1">
      <c r="A780">
        <f t="shared" si="20"/>
        <v>779</v>
      </c>
    </row>
    <row r="781" spans="1:1">
      <c r="A781">
        <f t="shared" si="20"/>
        <v>780</v>
      </c>
    </row>
    <row r="782" spans="1:1">
      <c r="A782">
        <f t="shared" si="20"/>
        <v>781</v>
      </c>
    </row>
    <row r="783" spans="1:1">
      <c r="A783">
        <f t="shared" si="20"/>
        <v>782</v>
      </c>
    </row>
    <row r="784" spans="1:1">
      <c r="A784">
        <f t="shared" si="20"/>
        <v>783</v>
      </c>
    </row>
    <row r="785" spans="1:1">
      <c r="A785">
        <f t="shared" si="20"/>
        <v>784</v>
      </c>
    </row>
    <row r="786" spans="1:1">
      <c r="A786">
        <f t="shared" si="20"/>
        <v>785</v>
      </c>
    </row>
    <row r="787" spans="1:1">
      <c r="A787">
        <f t="shared" si="20"/>
        <v>786</v>
      </c>
    </row>
    <row r="788" spans="1:1">
      <c r="A788">
        <f t="shared" si="20"/>
        <v>787</v>
      </c>
    </row>
    <row r="789" spans="1:1">
      <c r="A789">
        <f t="shared" si="20"/>
        <v>788</v>
      </c>
    </row>
    <row r="790" spans="1:1">
      <c r="A790">
        <f t="shared" si="20"/>
        <v>789</v>
      </c>
    </row>
    <row r="791" spans="1:1">
      <c r="A791">
        <f t="shared" si="20"/>
        <v>790</v>
      </c>
    </row>
    <row r="792" spans="1:1">
      <c r="A792">
        <f t="shared" si="20"/>
        <v>791</v>
      </c>
    </row>
    <row r="793" spans="1:1">
      <c r="A793">
        <f t="shared" si="20"/>
        <v>792</v>
      </c>
    </row>
    <row r="794" spans="1:1">
      <c r="A794">
        <f t="shared" si="20"/>
        <v>793</v>
      </c>
    </row>
    <row r="795" spans="1:1">
      <c r="A795">
        <f t="shared" si="20"/>
        <v>794</v>
      </c>
    </row>
    <row r="796" spans="1:1">
      <c r="A796">
        <f t="shared" si="20"/>
        <v>795</v>
      </c>
    </row>
    <row r="797" spans="1:1">
      <c r="A797">
        <f t="shared" si="20"/>
        <v>796</v>
      </c>
    </row>
    <row r="798" spans="1:1">
      <c r="A798">
        <f t="shared" si="20"/>
        <v>797</v>
      </c>
    </row>
    <row r="799" spans="1:1">
      <c r="A799">
        <f t="shared" si="20"/>
        <v>798</v>
      </c>
    </row>
    <row r="800" spans="1:1">
      <c r="A800">
        <f t="shared" si="20"/>
        <v>799</v>
      </c>
    </row>
    <row r="801" spans="1:1">
      <c r="A801">
        <f t="shared" si="20"/>
        <v>800</v>
      </c>
    </row>
    <row r="802" spans="1:1">
      <c r="A802">
        <f t="shared" si="20"/>
        <v>801</v>
      </c>
    </row>
    <row r="803" spans="1:1">
      <c r="A803">
        <f t="shared" si="20"/>
        <v>802</v>
      </c>
    </row>
    <row r="804" spans="1:1">
      <c r="A804">
        <f t="shared" si="20"/>
        <v>803</v>
      </c>
    </row>
    <row r="805" spans="1:1">
      <c r="A805">
        <f t="shared" si="20"/>
        <v>804</v>
      </c>
    </row>
    <row r="806" spans="1:1">
      <c r="A806">
        <f t="shared" si="20"/>
        <v>805</v>
      </c>
    </row>
    <row r="807" spans="1:1">
      <c r="A807">
        <f t="shared" si="20"/>
        <v>806</v>
      </c>
    </row>
    <row r="808" spans="1:1">
      <c r="A808">
        <f t="shared" si="20"/>
        <v>807</v>
      </c>
    </row>
    <row r="809" spans="1:1">
      <c r="A809">
        <f t="shared" si="20"/>
        <v>808</v>
      </c>
    </row>
    <row r="810" spans="1:1">
      <c r="A810">
        <f t="shared" si="20"/>
        <v>809</v>
      </c>
    </row>
    <row r="811" spans="1:1">
      <c r="A811">
        <f t="shared" si="20"/>
        <v>810</v>
      </c>
    </row>
    <row r="812" spans="1:1">
      <c r="A812">
        <f t="shared" si="20"/>
        <v>811</v>
      </c>
    </row>
    <row r="813" spans="1:1">
      <c r="A813">
        <f t="shared" si="20"/>
        <v>812</v>
      </c>
    </row>
    <row r="814" spans="1:1">
      <c r="A814">
        <f t="shared" si="20"/>
        <v>813</v>
      </c>
    </row>
    <row r="815" spans="1:1">
      <c r="A815">
        <f t="shared" si="20"/>
        <v>814</v>
      </c>
    </row>
    <row r="816" spans="1:1">
      <c r="A816">
        <f t="shared" si="20"/>
        <v>815</v>
      </c>
    </row>
    <row r="817" spans="1:1">
      <c r="A817">
        <f t="shared" si="20"/>
        <v>816</v>
      </c>
    </row>
    <row r="818" spans="1:1">
      <c r="A818">
        <f t="shared" si="20"/>
        <v>817</v>
      </c>
    </row>
    <row r="819" spans="1:1">
      <c r="A819">
        <f t="shared" si="20"/>
        <v>818</v>
      </c>
    </row>
    <row r="820" spans="1:1">
      <c r="A820">
        <f t="shared" si="20"/>
        <v>819</v>
      </c>
    </row>
    <row r="821" spans="1:1">
      <c r="A821">
        <f t="shared" si="20"/>
        <v>820</v>
      </c>
    </row>
    <row r="822" spans="1:1">
      <c r="A822">
        <f t="shared" si="20"/>
        <v>821</v>
      </c>
    </row>
    <row r="823" spans="1:1">
      <c r="A823">
        <f t="shared" si="20"/>
        <v>822</v>
      </c>
    </row>
    <row r="824" spans="1:1">
      <c r="A824">
        <f t="shared" si="20"/>
        <v>823</v>
      </c>
    </row>
    <row r="825" spans="1:1">
      <c r="A825">
        <f t="shared" si="20"/>
        <v>824</v>
      </c>
    </row>
    <row r="826" spans="1:1">
      <c r="A826">
        <f t="shared" si="20"/>
        <v>825</v>
      </c>
    </row>
    <row r="827" spans="1:1">
      <c r="A827">
        <f t="shared" si="20"/>
        <v>826</v>
      </c>
    </row>
    <row r="828" spans="1:1">
      <c r="A828">
        <f t="shared" si="20"/>
        <v>827</v>
      </c>
    </row>
    <row r="829" spans="1:1">
      <c r="A829">
        <f t="shared" si="20"/>
        <v>828</v>
      </c>
    </row>
    <row r="830" spans="1:1">
      <c r="A830">
        <f t="shared" si="20"/>
        <v>829</v>
      </c>
    </row>
    <row r="831" spans="1:1">
      <c r="A831">
        <f t="shared" si="20"/>
        <v>830</v>
      </c>
    </row>
    <row r="832" spans="1:1">
      <c r="A832">
        <f t="shared" si="20"/>
        <v>831</v>
      </c>
    </row>
    <row r="833" spans="1:1">
      <c r="A833">
        <f t="shared" si="20"/>
        <v>832</v>
      </c>
    </row>
    <row r="834" spans="1:1">
      <c r="A834">
        <f t="shared" si="20"/>
        <v>833</v>
      </c>
    </row>
    <row r="835" spans="1:1">
      <c r="A835">
        <f t="shared" si="20"/>
        <v>834</v>
      </c>
    </row>
    <row r="836" spans="1:1">
      <c r="A836">
        <f t="shared" si="20"/>
        <v>835</v>
      </c>
    </row>
    <row r="837" spans="1:1">
      <c r="A837">
        <f t="shared" ref="A837:A900" si="21">+A836+1</f>
        <v>836</v>
      </c>
    </row>
    <row r="838" spans="1:1">
      <c r="A838">
        <f t="shared" si="21"/>
        <v>837</v>
      </c>
    </row>
    <row r="839" spans="1:1">
      <c r="A839">
        <f t="shared" si="21"/>
        <v>838</v>
      </c>
    </row>
    <row r="840" spans="1:1">
      <c r="A840">
        <f t="shared" si="21"/>
        <v>839</v>
      </c>
    </row>
    <row r="841" spans="1:1">
      <c r="A841">
        <f t="shared" si="21"/>
        <v>840</v>
      </c>
    </row>
    <row r="842" spans="1:1">
      <c r="A842">
        <f t="shared" si="21"/>
        <v>841</v>
      </c>
    </row>
    <row r="843" spans="1:1">
      <c r="A843">
        <f t="shared" si="21"/>
        <v>842</v>
      </c>
    </row>
    <row r="844" spans="1:1">
      <c r="A844">
        <f t="shared" si="21"/>
        <v>843</v>
      </c>
    </row>
    <row r="845" spans="1:1">
      <c r="A845">
        <f t="shared" si="21"/>
        <v>844</v>
      </c>
    </row>
    <row r="846" spans="1:1">
      <c r="A846">
        <f t="shared" si="21"/>
        <v>845</v>
      </c>
    </row>
    <row r="847" spans="1:1">
      <c r="A847">
        <f t="shared" si="21"/>
        <v>846</v>
      </c>
    </row>
    <row r="848" spans="1:1">
      <c r="A848">
        <f t="shared" si="21"/>
        <v>847</v>
      </c>
    </row>
    <row r="849" spans="1:1">
      <c r="A849">
        <f t="shared" si="21"/>
        <v>848</v>
      </c>
    </row>
    <row r="850" spans="1:1">
      <c r="A850">
        <f t="shared" si="21"/>
        <v>849</v>
      </c>
    </row>
    <row r="851" spans="1:1">
      <c r="A851">
        <f t="shared" si="21"/>
        <v>850</v>
      </c>
    </row>
    <row r="852" spans="1:1">
      <c r="A852">
        <f t="shared" si="21"/>
        <v>851</v>
      </c>
    </row>
    <row r="853" spans="1:1">
      <c r="A853">
        <f t="shared" si="21"/>
        <v>852</v>
      </c>
    </row>
    <row r="854" spans="1:1">
      <c r="A854">
        <f t="shared" si="21"/>
        <v>853</v>
      </c>
    </row>
    <row r="855" spans="1:1">
      <c r="A855">
        <f t="shared" si="21"/>
        <v>854</v>
      </c>
    </row>
    <row r="856" spans="1:1">
      <c r="A856">
        <f t="shared" si="21"/>
        <v>855</v>
      </c>
    </row>
    <row r="857" spans="1:1">
      <c r="A857">
        <f t="shared" si="21"/>
        <v>856</v>
      </c>
    </row>
    <row r="858" spans="1:1">
      <c r="A858">
        <f t="shared" si="21"/>
        <v>857</v>
      </c>
    </row>
    <row r="859" spans="1:1">
      <c r="A859">
        <f t="shared" si="21"/>
        <v>858</v>
      </c>
    </row>
    <row r="860" spans="1:1">
      <c r="A860">
        <f t="shared" si="21"/>
        <v>859</v>
      </c>
    </row>
    <row r="861" spans="1:1">
      <c r="A861">
        <f t="shared" si="21"/>
        <v>860</v>
      </c>
    </row>
    <row r="862" spans="1:1">
      <c r="A862">
        <f t="shared" si="21"/>
        <v>861</v>
      </c>
    </row>
    <row r="863" spans="1:1">
      <c r="A863">
        <f t="shared" si="21"/>
        <v>862</v>
      </c>
    </row>
    <row r="864" spans="1:1">
      <c r="A864">
        <f t="shared" si="21"/>
        <v>863</v>
      </c>
    </row>
    <row r="865" spans="1:1">
      <c r="A865">
        <f t="shared" si="21"/>
        <v>864</v>
      </c>
    </row>
    <row r="866" spans="1:1">
      <c r="A866">
        <f t="shared" si="21"/>
        <v>865</v>
      </c>
    </row>
    <row r="867" spans="1:1">
      <c r="A867">
        <f t="shared" si="21"/>
        <v>866</v>
      </c>
    </row>
    <row r="868" spans="1:1">
      <c r="A868">
        <f t="shared" si="21"/>
        <v>867</v>
      </c>
    </row>
    <row r="869" spans="1:1">
      <c r="A869">
        <f t="shared" si="21"/>
        <v>868</v>
      </c>
    </row>
    <row r="870" spans="1:1">
      <c r="A870">
        <f t="shared" si="21"/>
        <v>869</v>
      </c>
    </row>
    <row r="871" spans="1:1">
      <c r="A871">
        <f t="shared" si="21"/>
        <v>870</v>
      </c>
    </row>
    <row r="872" spans="1:1">
      <c r="A872">
        <f t="shared" si="21"/>
        <v>871</v>
      </c>
    </row>
    <row r="873" spans="1:1">
      <c r="A873">
        <f t="shared" si="21"/>
        <v>872</v>
      </c>
    </row>
    <row r="874" spans="1:1">
      <c r="A874">
        <f t="shared" si="21"/>
        <v>873</v>
      </c>
    </row>
    <row r="875" spans="1:1">
      <c r="A875">
        <f t="shared" si="21"/>
        <v>874</v>
      </c>
    </row>
    <row r="876" spans="1:1">
      <c r="A876">
        <f t="shared" si="21"/>
        <v>875</v>
      </c>
    </row>
    <row r="877" spans="1:1">
      <c r="A877">
        <f t="shared" si="21"/>
        <v>876</v>
      </c>
    </row>
    <row r="878" spans="1:1">
      <c r="A878">
        <f t="shared" si="21"/>
        <v>877</v>
      </c>
    </row>
    <row r="879" spans="1:1">
      <c r="A879">
        <f t="shared" si="21"/>
        <v>878</v>
      </c>
    </row>
    <row r="880" spans="1:1">
      <c r="A880">
        <f t="shared" si="21"/>
        <v>879</v>
      </c>
    </row>
    <row r="881" spans="1:1">
      <c r="A881">
        <f t="shared" si="21"/>
        <v>880</v>
      </c>
    </row>
    <row r="882" spans="1:1">
      <c r="A882">
        <f t="shared" si="21"/>
        <v>881</v>
      </c>
    </row>
    <row r="883" spans="1:1">
      <c r="A883">
        <f t="shared" si="21"/>
        <v>882</v>
      </c>
    </row>
    <row r="884" spans="1:1">
      <c r="A884">
        <f t="shared" si="21"/>
        <v>883</v>
      </c>
    </row>
    <row r="885" spans="1:1">
      <c r="A885">
        <f t="shared" si="21"/>
        <v>884</v>
      </c>
    </row>
    <row r="886" spans="1:1">
      <c r="A886">
        <f t="shared" si="21"/>
        <v>885</v>
      </c>
    </row>
    <row r="887" spans="1:1">
      <c r="A887">
        <f t="shared" si="21"/>
        <v>886</v>
      </c>
    </row>
    <row r="888" spans="1:1">
      <c r="A888">
        <f t="shared" si="21"/>
        <v>887</v>
      </c>
    </row>
    <row r="889" spans="1:1">
      <c r="A889">
        <f t="shared" si="21"/>
        <v>888</v>
      </c>
    </row>
    <row r="890" spans="1:1">
      <c r="A890">
        <f t="shared" si="21"/>
        <v>889</v>
      </c>
    </row>
    <row r="891" spans="1:1">
      <c r="A891">
        <f t="shared" si="21"/>
        <v>890</v>
      </c>
    </row>
    <row r="892" spans="1:1">
      <c r="A892">
        <f t="shared" si="21"/>
        <v>891</v>
      </c>
    </row>
    <row r="893" spans="1:1">
      <c r="A893">
        <f t="shared" si="21"/>
        <v>892</v>
      </c>
    </row>
    <row r="894" spans="1:1">
      <c r="A894">
        <f t="shared" si="21"/>
        <v>893</v>
      </c>
    </row>
    <row r="895" spans="1:1">
      <c r="A895">
        <f t="shared" si="21"/>
        <v>894</v>
      </c>
    </row>
    <row r="896" spans="1:1">
      <c r="A896">
        <f t="shared" si="21"/>
        <v>895</v>
      </c>
    </row>
    <row r="897" spans="1:1">
      <c r="A897">
        <f t="shared" si="21"/>
        <v>896</v>
      </c>
    </row>
    <row r="898" spans="1:1">
      <c r="A898">
        <f t="shared" si="21"/>
        <v>897</v>
      </c>
    </row>
    <row r="899" spans="1:1">
      <c r="A899">
        <f t="shared" si="21"/>
        <v>898</v>
      </c>
    </row>
    <row r="900" spans="1:1">
      <c r="A900">
        <f t="shared" si="21"/>
        <v>899</v>
      </c>
    </row>
    <row r="901" spans="1:1">
      <c r="A901">
        <f t="shared" ref="A901:A964" si="22">+A900+1</f>
        <v>900</v>
      </c>
    </row>
    <row r="902" spans="1:1">
      <c r="A902">
        <f t="shared" si="22"/>
        <v>901</v>
      </c>
    </row>
    <row r="903" spans="1:1">
      <c r="A903">
        <f t="shared" si="22"/>
        <v>902</v>
      </c>
    </row>
    <row r="904" spans="1:1">
      <c r="A904">
        <f t="shared" si="22"/>
        <v>903</v>
      </c>
    </row>
    <row r="905" spans="1:1">
      <c r="A905">
        <f t="shared" si="22"/>
        <v>904</v>
      </c>
    </row>
    <row r="906" spans="1:1">
      <c r="A906">
        <f t="shared" si="22"/>
        <v>905</v>
      </c>
    </row>
    <row r="907" spans="1:1">
      <c r="A907">
        <f t="shared" si="22"/>
        <v>906</v>
      </c>
    </row>
    <row r="908" spans="1:1">
      <c r="A908">
        <f t="shared" si="22"/>
        <v>907</v>
      </c>
    </row>
    <row r="909" spans="1:1">
      <c r="A909">
        <f t="shared" si="22"/>
        <v>908</v>
      </c>
    </row>
    <row r="910" spans="1:1">
      <c r="A910">
        <f t="shared" si="22"/>
        <v>909</v>
      </c>
    </row>
    <row r="911" spans="1:1">
      <c r="A911">
        <f t="shared" si="22"/>
        <v>910</v>
      </c>
    </row>
    <row r="912" spans="1:1">
      <c r="A912">
        <f t="shared" si="22"/>
        <v>911</v>
      </c>
    </row>
    <row r="913" spans="1:1">
      <c r="A913">
        <f t="shared" si="22"/>
        <v>912</v>
      </c>
    </row>
    <row r="914" spans="1:1">
      <c r="A914">
        <f t="shared" si="22"/>
        <v>913</v>
      </c>
    </row>
    <row r="915" spans="1:1">
      <c r="A915">
        <f t="shared" si="22"/>
        <v>914</v>
      </c>
    </row>
    <row r="916" spans="1:1">
      <c r="A916">
        <f t="shared" si="22"/>
        <v>915</v>
      </c>
    </row>
    <row r="917" spans="1:1">
      <c r="A917">
        <f t="shared" si="22"/>
        <v>916</v>
      </c>
    </row>
    <row r="918" spans="1:1">
      <c r="A918">
        <f t="shared" si="22"/>
        <v>917</v>
      </c>
    </row>
    <row r="919" spans="1:1">
      <c r="A919">
        <f t="shared" si="22"/>
        <v>918</v>
      </c>
    </row>
    <row r="920" spans="1:1">
      <c r="A920">
        <f t="shared" si="22"/>
        <v>919</v>
      </c>
    </row>
    <row r="921" spans="1:1">
      <c r="A921">
        <f t="shared" si="22"/>
        <v>920</v>
      </c>
    </row>
    <row r="922" spans="1:1">
      <c r="A922">
        <f t="shared" si="22"/>
        <v>921</v>
      </c>
    </row>
    <row r="923" spans="1:1">
      <c r="A923">
        <f t="shared" si="22"/>
        <v>922</v>
      </c>
    </row>
    <row r="924" spans="1:1">
      <c r="A924">
        <f t="shared" si="22"/>
        <v>923</v>
      </c>
    </row>
    <row r="925" spans="1:1">
      <c r="A925">
        <f t="shared" si="22"/>
        <v>924</v>
      </c>
    </row>
    <row r="926" spans="1:1">
      <c r="A926">
        <f t="shared" si="22"/>
        <v>925</v>
      </c>
    </row>
    <row r="927" spans="1:1">
      <c r="A927">
        <f t="shared" si="22"/>
        <v>926</v>
      </c>
    </row>
    <row r="928" spans="1:1">
      <c r="A928">
        <f t="shared" si="22"/>
        <v>927</v>
      </c>
    </row>
    <row r="929" spans="1:1">
      <c r="A929">
        <f t="shared" si="22"/>
        <v>928</v>
      </c>
    </row>
    <row r="930" spans="1:1">
      <c r="A930">
        <f t="shared" si="22"/>
        <v>929</v>
      </c>
    </row>
    <row r="931" spans="1:1">
      <c r="A931">
        <f t="shared" si="22"/>
        <v>930</v>
      </c>
    </row>
    <row r="932" spans="1:1">
      <c r="A932">
        <f t="shared" si="22"/>
        <v>931</v>
      </c>
    </row>
    <row r="933" spans="1:1">
      <c r="A933">
        <f t="shared" si="22"/>
        <v>932</v>
      </c>
    </row>
    <row r="934" spans="1:1">
      <c r="A934">
        <f t="shared" si="22"/>
        <v>933</v>
      </c>
    </row>
    <row r="935" spans="1:1">
      <c r="A935">
        <f t="shared" si="22"/>
        <v>934</v>
      </c>
    </row>
    <row r="936" spans="1:1">
      <c r="A936">
        <f t="shared" si="22"/>
        <v>935</v>
      </c>
    </row>
    <row r="937" spans="1:1">
      <c r="A937">
        <f t="shared" si="22"/>
        <v>936</v>
      </c>
    </row>
    <row r="938" spans="1:1">
      <c r="A938">
        <f t="shared" si="22"/>
        <v>937</v>
      </c>
    </row>
    <row r="939" spans="1:1">
      <c r="A939">
        <f t="shared" si="22"/>
        <v>938</v>
      </c>
    </row>
    <row r="940" spans="1:1">
      <c r="A940">
        <f t="shared" si="22"/>
        <v>939</v>
      </c>
    </row>
    <row r="941" spans="1:1">
      <c r="A941">
        <f t="shared" si="22"/>
        <v>940</v>
      </c>
    </row>
    <row r="942" spans="1:1">
      <c r="A942">
        <f t="shared" si="22"/>
        <v>941</v>
      </c>
    </row>
    <row r="943" spans="1:1">
      <c r="A943">
        <f t="shared" si="22"/>
        <v>942</v>
      </c>
    </row>
    <row r="944" spans="1:1">
      <c r="A944">
        <f t="shared" si="22"/>
        <v>943</v>
      </c>
    </row>
    <row r="945" spans="1:1">
      <c r="A945">
        <f t="shared" si="22"/>
        <v>944</v>
      </c>
    </row>
    <row r="946" spans="1:1">
      <c r="A946">
        <f t="shared" si="22"/>
        <v>945</v>
      </c>
    </row>
    <row r="947" spans="1:1">
      <c r="A947">
        <f t="shared" si="22"/>
        <v>946</v>
      </c>
    </row>
    <row r="948" spans="1:1">
      <c r="A948">
        <f t="shared" si="22"/>
        <v>947</v>
      </c>
    </row>
    <row r="949" spans="1:1">
      <c r="A949">
        <f t="shared" si="22"/>
        <v>948</v>
      </c>
    </row>
    <row r="950" spans="1:1">
      <c r="A950">
        <f t="shared" si="22"/>
        <v>949</v>
      </c>
    </row>
    <row r="951" spans="1:1">
      <c r="A951">
        <f t="shared" si="22"/>
        <v>950</v>
      </c>
    </row>
    <row r="952" spans="1:1">
      <c r="A952">
        <f t="shared" si="22"/>
        <v>951</v>
      </c>
    </row>
    <row r="953" spans="1:1">
      <c r="A953">
        <f t="shared" si="22"/>
        <v>952</v>
      </c>
    </row>
    <row r="954" spans="1:1">
      <c r="A954">
        <f t="shared" si="22"/>
        <v>953</v>
      </c>
    </row>
    <row r="955" spans="1:1">
      <c r="A955">
        <f t="shared" si="22"/>
        <v>954</v>
      </c>
    </row>
    <row r="956" spans="1:1">
      <c r="A956">
        <f t="shared" si="22"/>
        <v>955</v>
      </c>
    </row>
    <row r="957" spans="1:1">
      <c r="A957">
        <f t="shared" si="22"/>
        <v>956</v>
      </c>
    </row>
    <row r="958" spans="1:1">
      <c r="A958">
        <f t="shared" si="22"/>
        <v>957</v>
      </c>
    </row>
    <row r="959" spans="1:1">
      <c r="A959">
        <f t="shared" si="22"/>
        <v>958</v>
      </c>
    </row>
    <row r="960" spans="1:1">
      <c r="A960">
        <f t="shared" si="22"/>
        <v>959</v>
      </c>
    </row>
    <row r="961" spans="1:1">
      <c r="A961">
        <f t="shared" si="22"/>
        <v>960</v>
      </c>
    </row>
    <row r="962" spans="1:1">
      <c r="A962">
        <f t="shared" si="22"/>
        <v>961</v>
      </c>
    </row>
    <row r="963" spans="1:1">
      <c r="A963">
        <f t="shared" si="22"/>
        <v>962</v>
      </c>
    </row>
    <row r="964" spans="1:1">
      <c r="A964">
        <f t="shared" si="22"/>
        <v>963</v>
      </c>
    </row>
    <row r="965" spans="1:1">
      <c r="A965">
        <f t="shared" ref="A965:A1001" si="23">+A964+1</f>
        <v>964</v>
      </c>
    </row>
    <row r="966" spans="1:1">
      <c r="A966">
        <f t="shared" si="23"/>
        <v>965</v>
      </c>
    </row>
    <row r="967" spans="1:1">
      <c r="A967">
        <f t="shared" si="23"/>
        <v>966</v>
      </c>
    </row>
    <row r="968" spans="1:1">
      <c r="A968">
        <f t="shared" si="23"/>
        <v>967</v>
      </c>
    </row>
    <row r="969" spans="1:1">
      <c r="A969">
        <f t="shared" si="23"/>
        <v>968</v>
      </c>
    </row>
    <row r="970" spans="1:1">
      <c r="A970">
        <f t="shared" si="23"/>
        <v>969</v>
      </c>
    </row>
    <row r="971" spans="1:1">
      <c r="A971">
        <f t="shared" si="23"/>
        <v>970</v>
      </c>
    </row>
    <row r="972" spans="1:1">
      <c r="A972">
        <f t="shared" si="23"/>
        <v>971</v>
      </c>
    </row>
    <row r="973" spans="1:1">
      <c r="A973">
        <f t="shared" si="23"/>
        <v>972</v>
      </c>
    </row>
    <row r="974" spans="1:1">
      <c r="A974">
        <f t="shared" si="23"/>
        <v>973</v>
      </c>
    </row>
    <row r="975" spans="1:1">
      <c r="A975">
        <f t="shared" si="23"/>
        <v>974</v>
      </c>
    </row>
    <row r="976" spans="1:1">
      <c r="A976">
        <f t="shared" si="23"/>
        <v>975</v>
      </c>
    </row>
    <row r="977" spans="1:1">
      <c r="A977">
        <f t="shared" si="23"/>
        <v>976</v>
      </c>
    </row>
    <row r="978" spans="1:1">
      <c r="A978">
        <f t="shared" si="23"/>
        <v>977</v>
      </c>
    </row>
    <row r="979" spans="1:1">
      <c r="A979">
        <f t="shared" si="23"/>
        <v>978</v>
      </c>
    </row>
    <row r="980" spans="1:1">
      <c r="A980">
        <f t="shared" si="23"/>
        <v>979</v>
      </c>
    </row>
    <row r="981" spans="1:1">
      <c r="A981">
        <f t="shared" si="23"/>
        <v>980</v>
      </c>
    </row>
    <row r="982" spans="1:1">
      <c r="A982">
        <f t="shared" si="23"/>
        <v>981</v>
      </c>
    </row>
    <row r="983" spans="1:1">
      <c r="A983">
        <f t="shared" si="23"/>
        <v>982</v>
      </c>
    </row>
    <row r="984" spans="1:1">
      <c r="A984">
        <f t="shared" si="23"/>
        <v>983</v>
      </c>
    </row>
    <row r="985" spans="1:1">
      <c r="A985">
        <f t="shared" si="23"/>
        <v>984</v>
      </c>
    </row>
    <row r="986" spans="1:1">
      <c r="A986">
        <f t="shared" si="23"/>
        <v>985</v>
      </c>
    </row>
    <row r="987" spans="1:1">
      <c r="A987">
        <f t="shared" si="23"/>
        <v>986</v>
      </c>
    </row>
    <row r="988" spans="1:1">
      <c r="A988">
        <f t="shared" si="23"/>
        <v>987</v>
      </c>
    </row>
    <row r="989" spans="1:1">
      <c r="A989">
        <f t="shared" si="23"/>
        <v>988</v>
      </c>
    </row>
    <row r="990" spans="1:1">
      <c r="A990">
        <f t="shared" si="23"/>
        <v>989</v>
      </c>
    </row>
    <row r="991" spans="1:1">
      <c r="A991">
        <f t="shared" si="23"/>
        <v>990</v>
      </c>
    </row>
    <row r="992" spans="1:1">
      <c r="A992">
        <f t="shared" si="23"/>
        <v>991</v>
      </c>
    </row>
    <row r="993" spans="1:1">
      <c r="A993">
        <f t="shared" si="23"/>
        <v>992</v>
      </c>
    </row>
    <row r="994" spans="1:1">
      <c r="A994">
        <f t="shared" si="23"/>
        <v>993</v>
      </c>
    </row>
    <row r="995" spans="1:1">
      <c r="A995">
        <f t="shared" si="23"/>
        <v>994</v>
      </c>
    </row>
    <row r="996" spans="1:1">
      <c r="A996">
        <f t="shared" si="23"/>
        <v>995</v>
      </c>
    </row>
    <row r="997" spans="1:1">
      <c r="A997">
        <f t="shared" si="23"/>
        <v>996</v>
      </c>
    </row>
    <row r="998" spans="1:1">
      <c r="A998">
        <f t="shared" si="23"/>
        <v>997</v>
      </c>
    </row>
    <row r="999" spans="1:1">
      <c r="A999">
        <f t="shared" si="23"/>
        <v>998</v>
      </c>
    </row>
    <row r="1000" spans="1:1">
      <c r="A1000">
        <f t="shared" si="23"/>
        <v>999</v>
      </c>
    </row>
    <row r="1001" spans="1:1">
      <c r="A1001">
        <f t="shared" si="23"/>
        <v>1000</v>
      </c>
    </row>
  </sheetData>
  <hyperlinks>
    <hyperlink ref="E190" r:id="rId1" xr:uid="{00000000-0004-0000-0000-000000000000}"/>
  </hyperlinks>
  <pageMargins left="0.7" right="0.7" top="0.75" bottom="0.75" header="0.3" footer="0.3"/>
  <pageSetup orientation="portrait" horizontalDpi="200" verticalDpi="200" r:id="rId2"/>
  <ignoredErrors>
    <ignoredError sqref="B2:B3 B6 B8 B10:B13" twoDigitTextYear="1"/>
    <ignoredError sqref="J87:J8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7"/>
  <sheetViews>
    <sheetView topLeftCell="A2" workbookViewId="0">
      <selection activeCell="I16" sqref="I16"/>
    </sheetView>
  </sheetViews>
  <sheetFormatPr baseColWidth="10" defaultRowHeight="15"/>
  <cols>
    <col min="1" max="1" width="11.5" style="6"/>
    <col min="2" max="2" width="34.33203125" customWidth="1"/>
    <col min="3" max="4" width="13.1640625" customWidth="1"/>
    <col min="5" max="5" width="14.83203125" style="45" customWidth="1"/>
    <col min="6" max="6" width="11.5" style="8"/>
    <col min="7" max="7" width="41.33203125" style="25" customWidth="1"/>
    <col min="8" max="8" width="46" customWidth="1"/>
  </cols>
  <sheetData>
    <row r="1" spans="1:10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6" t="s">
        <v>17</v>
      </c>
      <c r="F1" s="7" t="s">
        <v>7</v>
      </c>
      <c r="G1" s="5" t="s">
        <v>9</v>
      </c>
      <c r="H1" s="1" t="s">
        <v>10</v>
      </c>
    </row>
    <row r="2" spans="1:10">
      <c r="A2" s="6">
        <v>44202</v>
      </c>
      <c r="B2" t="s">
        <v>14</v>
      </c>
      <c r="C2" t="s">
        <v>1506</v>
      </c>
      <c r="D2" t="s">
        <v>1509</v>
      </c>
      <c r="E2" s="45" t="s">
        <v>18</v>
      </c>
      <c r="F2" s="8">
        <v>1870</v>
      </c>
      <c r="G2" s="25" t="s">
        <v>19</v>
      </c>
      <c r="H2" t="s">
        <v>20</v>
      </c>
    </row>
    <row r="3" spans="1:10">
      <c r="A3" s="6">
        <v>44204</v>
      </c>
      <c r="B3" t="s">
        <v>23</v>
      </c>
      <c r="C3" t="s">
        <v>1502</v>
      </c>
      <c r="D3" t="s">
        <v>1509</v>
      </c>
      <c r="E3" s="45" t="s">
        <v>18</v>
      </c>
      <c r="F3" s="8">
        <v>1435</v>
      </c>
      <c r="G3" s="25" t="s">
        <v>19</v>
      </c>
      <c r="H3" t="s">
        <v>109</v>
      </c>
    </row>
    <row r="4" spans="1:10">
      <c r="A4" s="6">
        <v>44204</v>
      </c>
      <c r="B4" t="s">
        <v>26</v>
      </c>
      <c r="C4" t="s">
        <v>1503</v>
      </c>
      <c r="D4" t="s">
        <v>1509</v>
      </c>
      <c r="E4" s="45" t="s">
        <v>18</v>
      </c>
      <c r="F4" s="8">
        <v>2527</v>
      </c>
      <c r="G4" t="s">
        <v>1796</v>
      </c>
      <c r="H4" t="s">
        <v>37</v>
      </c>
    </row>
    <row r="5" spans="1:10">
      <c r="A5" s="6">
        <v>44205</v>
      </c>
      <c r="B5" t="s">
        <v>28</v>
      </c>
      <c r="C5" t="s">
        <v>1506</v>
      </c>
      <c r="D5" t="s">
        <v>1509</v>
      </c>
      <c r="E5" s="45" t="s">
        <v>18</v>
      </c>
      <c r="F5" s="8">
        <v>2319.62</v>
      </c>
      <c r="G5" s="25" t="s">
        <v>1459</v>
      </c>
      <c r="H5" t="s">
        <v>1090</v>
      </c>
    </row>
    <row r="6" spans="1:10">
      <c r="A6" s="6">
        <v>44207</v>
      </c>
      <c r="B6" t="s">
        <v>32</v>
      </c>
      <c r="C6" t="s">
        <v>1506</v>
      </c>
      <c r="D6" t="s">
        <v>1509</v>
      </c>
      <c r="E6" s="45" t="s">
        <v>18</v>
      </c>
      <c r="F6" s="8">
        <v>908.3</v>
      </c>
      <c r="G6" s="25" t="s">
        <v>35</v>
      </c>
      <c r="H6" t="s">
        <v>36</v>
      </c>
    </row>
    <row r="7" spans="1:10">
      <c r="A7" s="6">
        <v>44212</v>
      </c>
      <c r="B7" t="s">
        <v>39</v>
      </c>
      <c r="C7" t="s">
        <v>1506</v>
      </c>
      <c r="D7" t="s">
        <v>1509</v>
      </c>
      <c r="E7" s="45" t="s">
        <v>18</v>
      </c>
      <c r="F7" s="8">
        <v>1283</v>
      </c>
      <c r="G7" s="25" t="s">
        <v>1460</v>
      </c>
      <c r="H7" t="s">
        <v>40</v>
      </c>
    </row>
    <row r="8" spans="1:10">
      <c r="A8" s="6">
        <v>44212</v>
      </c>
      <c r="B8" t="s">
        <v>41</v>
      </c>
      <c r="C8" t="s">
        <v>1503</v>
      </c>
      <c r="D8" t="s">
        <v>1509</v>
      </c>
      <c r="E8" s="45" t="s">
        <v>18</v>
      </c>
      <c r="F8" s="8">
        <v>1403</v>
      </c>
      <c r="G8" s="25" t="s">
        <v>46</v>
      </c>
      <c r="H8" t="s">
        <v>20</v>
      </c>
    </row>
    <row r="9" spans="1:10">
      <c r="A9" s="6">
        <v>44214</v>
      </c>
      <c r="B9" t="s">
        <v>49</v>
      </c>
      <c r="C9" t="s">
        <v>1506</v>
      </c>
      <c r="D9" t="s">
        <v>1509</v>
      </c>
      <c r="E9" s="45" t="s">
        <v>18</v>
      </c>
      <c r="F9" s="8">
        <v>750</v>
      </c>
      <c r="G9" s="25" t="s">
        <v>52</v>
      </c>
      <c r="H9" t="s">
        <v>177</v>
      </c>
    </row>
    <row r="10" spans="1:10">
      <c r="A10" s="6">
        <v>44219</v>
      </c>
      <c r="B10" t="s">
        <v>53</v>
      </c>
      <c r="C10" t="s">
        <v>1502</v>
      </c>
      <c r="D10" t="s">
        <v>1509</v>
      </c>
      <c r="E10" s="45" t="s">
        <v>18</v>
      </c>
      <c r="F10" s="8">
        <v>2290</v>
      </c>
      <c r="G10" s="25" t="s">
        <v>56</v>
      </c>
      <c r="H10" t="s">
        <v>20</v>
      </c>
    </row>
    <row r="11" spans="1:10">
      <c r="A11" s="6">
        <v>44226</v>
      </c>
      <c r="B11" t="s">
        <v>60</v>
      </c>
      <c r="C11" t="s">
        <v>1506</v>
      </c>
      <c r="D11" t="s">
        <v>1509</v>
      </c>
      <c r="E11" s="45" t="s">
        <v>63</v>
      </c>
      <c r="F11" s="8">
        <v>1260</v>
      </c>
      <c r="G11" s="25" t="s">
        <v>64</v>
      </c>
      <c r="H11" t="s">
        <v>36</v>
      </c>
    </row>
    <row r="14" spans="1:10" ht="16" thickBot="1">
      <c r="A14" s="106" t="s">
        <v>1541</v>
      </c>
      <c r="B14" s="106"/>
      <c r="C14" s="106"/>
      <c r="D14" s="106"/>
      <c r="E14" s="106"/>
      <c r="F14" s="106"/>
    </row>
    <row r="15" spans="1:10">
      <c r="A15" s="10" t="s">
        <v>1513</v>
      </c>
      <c r="B15" s="6"/>
      <c r="C15" s="8">
        <f>SUM(F2:F11)</f>
        <v>16045.92</v>
      </c>
      <c r="E15" s="27" t="s">
        <v>1546</v>
      </c>
      <c r="F15" s="47"/>
      <c r="H15" s="27" t="s">
        <v>1515</v>
      </c>
      <c r="I15" s="61">
        <v>3</v>
      </c>
      <c r="J15" s="28"/>
    </row>
    <row r="16" spans="1:10">
      <c r="A16" s="10"/>
      <c r="B16" s="6"/>
      <c r="C16" s="8"/>
      <c r="E16" s="29" t="s">
        <v>1552</v>
      </c>
      <c r="F16" s="49">
        <f>SUM(F2:F11)</f>
        <v>16045.92</v>
      </c>
      <c r="H16" s="29" t="s">
        <v>1768</v>
      </c>
      <c r="I16">
        <v>0</v>
      </c>
      <c r="J16" s="35">
        <f>I16/I$15</f>
        <v>0</v>
      </c>
    </row>
    <row r="17" spans="1:10" ht="16" thickBot="1">
      <c r="A17" s="10" t="s">
        <v>1545</v>
      </c>
      <c r="B17" s="6"/>
      <c r="C17" s="26">
        <v>22</v>
      </c>
      <c r="E17" s="31" t="s">
        <v>1553</v>
      </c>
      <c r="F17" s="42">
        <f>C15/C17</f>
        <v>729.36</v>
      </c>
      <c r="H17" s="29" t="s">
        <v>1769</v>
      </c>
      <c r="I17">
        <v>3</v>
      </c>
      <c r="J17" s="35">
        <f>I17/I$15</f>
        <v>1</v>
      </c>
    </row>
    <row r="18" spans="1:10" ht="16" thickBot="1">
      <c r="A18" s="10" t="s">
        <v>1758</v>
      </c>
      <c r="B18" s="6"/>
      <c r="C18">
        <v>10</v>
      </c>
      <c r="E18"/>
      <c r="F18" s="45"/>
      <c r="H18" s="31" t="s">
        <v>1770</v>
      </c>
      <c r="I18" s="62">
        <v>0</v>
      </c>
      <c r="J18" s="36">
        <f>I18/I$15</f>
        <v>0</v>
      </c>
    </row>
    <row r="19" spans="1:10">
      <c r="A19" s="10"/>
      <c r="B19" s="6"/>
      <c r="D19" t="s">
        <v>1486</v>
      </c>
      <c r="E19" s="27" t="s">
        <v>1547</v>
      </c>
      <c r="F19" s="47"/>
    </row>
    <row r="20" spans="1:10" ht="16" thickBot="1">
      <c r="A20" s="10" t="s">
        <v>1511</v>
      </c>
      <c r="B20" s="6"/>
      <c r="C20">
        <v>10</v>
      </c>
      <c r="D20" t="s">
        <v>1486</v>
      </c>
      <c r="E20" s="29" t="s">
        <v>1509</v>
      </c>
      <c r="F20" s="35">
        <f>C20/C$18</f>
        <v>1</v>
      </c>
    </row>
    <row r="21" spans="1:10" ht="16" thickBot="1">
      <c r="A21" s="10" t="s">
        <v>1512</v>
      </c>
      <c r="B21" s="6"/>
      <c r="C21">
        <v>0</v>
      </c>
      <c r="E21" s="31" t="s">
        <v>1510</v>
      </c>
      <c r="F21" s="36">
        <f>C21/C$30</f>
        <v>0</v>
      </c>
      <c r="H21" s="27" t="s">
        <v>1807</v>
      </c>
      <c r="I21" s="61">
        <v>3</v>
      </c>
      <c r="J21" s="28"/>
    </row>
    <row r="22" spans="1:10" ht="16" thickBot="1">
      <c r="A22" s="10"/>
      <c r="B22" s="6"/>
      <c r="E22"/>
      <c r="F22" s="45"/>
      <c r="H22" s="29" t="s">
        <v>1771</v>
      </c>
      <c r="I22">
        <v>0</v>
      </c>
      <c r="J22" s="35">
        <f>I22/I$21</f>
        <v>0</v>
      </c>
    </row>
    <row r="23" spans="1:10">
      <c r="A23" s="10" t="s">
        <v>1524</v>
      </c>
      <c r="B23" s="6"/>
      <c r="E23" s="27" t="s">
        <v>1548</v>
      </c>
      <c r="F23" s="47"/>
      <c r="H23" s="29" t="s">
        <v>1772</v>
      </c>
      <c r="I23">
        <v>1</v>
      </c>
      <c r="J23" s="35">
        <f>I23/I$21</f>
        <v>0.33333333333333331</v>
      </c>
    </row>
    <row r="24" spans="1:10" ht="16" thickBot="1">
      <c r="A24" s="10" t="s">
        <v>1514</v>
      </c>
      <c r="B24" s="6"/>
      <c r="C24">
        <v>0</v>
      </c>
      <c r="E24" s="32" t="s">
        <v>1514</v>
      </c>
      <c r="F24" s="35">
        <f t="shared" ref="F24:F32" si="0">C24/C$33</f>
        <v>0</v>
      </c>
      <c r="H24" s="31" t="s">
        <v>1773</v>
      </c>
      <c r="I24" s="62">
        <v>2</v>
      </c>
      <c r="J24" s="36">
        <f>I24/I$21</f>
        <v>0.66666666666666663</v>
      </c>
    </row>
    <row r="25" spans="1:10" ht="16" thickBot="1">
      <c r="A25" s="10" t="s">
        <v>1515</v>
      </c>
      <c r="B25" s="6"/>
      <c r="C25">
        <v>3</v>
      </c>
      <c r="E25" s="32" t="s">
        <v>1515</v>
      </c>
      <c r="F25" s="35">
        <f t="shared" si="0"/>
        <v>0.21428571428571427</v>
      </c>
    </row>
    <row r="26" spans="1:10">
      <c r="A26" s="10" t="s">
        <v>1516</v>
      </c>
      <c r="B26" s="6"/>
      <c r="C26">
        <v>3</v>
      </c>
      <c r="E26" s="32" t="s">
        <v>1516</v>
      </c>
      <c r="F26" s="35">
        <f t="shared" si="0"/>
        <v>0.21428571428571427</v>
      </c>
      <c r="G26" t="s">
        <v>1486</v>
      </c>
      <c r="H26" s="27" t="s">
        <v>1774</v>
      </c>
      <c r="I26" s="61">
        <v>1</v>
      </c>
      <c r="J26" s="47">
        <f>I26/I$21</f>
        <v>0.33333333333333331</v>
      </c>
    </row>
    <row r="27" spans="1:10">
      <c r="A27" s="10" t="s">
        <v>1517</v>
      </c>
      <c r="B27" s="6"/>
      <c r="C27">
        <v>1</v>
      </c>
      <c r="E27" s="32" t="s">
        <v>1517</v>
      </c>
      <c r="F27" s="35">
        <f t="shared" si="0"/>
        <v>7.1428571428571425E-2</v>
      </c>
      <c r="H27" s="29" t="s">
        <v>1775</v>
      </c>
      <c r="I27">
        <v>1</v>
      </c>
      <c r="J27" s="35">
        <f>I27/I$21</f>
        <v>0.33333333333333331</v>
      </c>
    </row>
    <row r="28" spans="1:10">
      <c r="A28" s="10" t="s">
        <v>1518</v>
      </c>
      <c r="B28" s="6"/>
      <c r="C28">
        <v>1</v>
      </c>
      <c r="E28" s="32" t="s">
        <v>1518</v>
      </c>
      <c r="F28" s="35">
        <f t="shared" si="0"/>
        <v>7.1428571428571425E-2</v>
      </c>
      <c r="H28" s="29" t="s">
        <v>1776</v>
      </c>
      <c r="I28">
        <v>1</v>
      </c>
      <c r="J28" s="35">
        <f>I28/I$21</f>
        <v>0.33333333333333331</v>
      </c>
    </row>
    <row r="29" spans="1:10" ht="16" thickBot="1">
      <c r="A29" s="10" t="s">
        <v>1519</v>
      </c>
      <c r="B29" s="6"/>
      <c r="C29">
        <v>2</v>
      </c>
      <c r="E29" s="32" t="s">
        <v>1519</v>
      </c>
      <c r="F29" s="35">
        <f t="shared" si="0"/>
        <v>0.14285714285714285</v>
      </c>
      <c r="H29" s="31" t="s">
        <v>1777</v>
      </c>
      <c r="I29" s="62">
        <v>0</v>
      </c>
      <c r="J29" s="36">
        <f>I29/I$21</f>
        <v>0</v>
      </c>
    </row>
    <row r="30" spans="1:10">
      <c r="A30" s="10" t="s">
        <v>1520</v>
      </c>
      <c r="B30" s="6"/>
      <c r="C30">
        <v>3</v>
      </c>
      <c r="E30" s="32" t="s">
        <v>1520</v>
      </c>
      <c r="F30" s="35">
        <f t="shared" si="0"/>
        <v>0.21428571428571427</v>
      </c>
    </row>
    <row r="31" spans="1:10" ht="16" thickBot="1">
      <c r="A31" s="10" t="s">
        <v>1522</v>
      </c>
      <c r="B31" s="6"/>
      <c r="C31">
        <v>1</v>
      </c>
      <c r="E31" s="32" t="s">
        <v>1522</v>
      </c>
      <c r="F31" s="35">
        <f t="shared" si="0"/>
        <v>7.1428571428571425E-2</v>
      </c>
    </row>
    <row r="32" spans="1:10" ht="16" thickBot="1">
      <c r="A32" s="10" t="s">
        <v>1574</v>
      </c>
      <c r="B32" s="6"/>
      <c r="C32">
        <v>1</v>
      </c>
      <c r="E32" s="33" t="s">
        <v>1574</v>
      </c>
      <c r="F32" s="36">
        <f t="shared" si="0"/>
        <v>7.1428571428571425E-2</v>
      </c>
      <c r="G32" t="s">
        <v>1486</v>
      </c>
      <c r="H32" s="27" t="s">
        <v>1518</v>
      </c>
      <c r="I32" s="61">
        <v>1</v>
      </c>
      <c r="J32" s="28"/>
    </row>
    <row r="33" spans="1:10" ht="16" thickBot="1">
      <c r="A33" s="10" t="s">
        <v>1523</v>
      </c>
      <c r="B33" s="6"/>
      <c r="C33">
        <v>14</v>
      </c>
      <c r="E33" s="10"/>
      <c r="F33" s="45"/>
      <c r="H33" s="29" t="s">
        <v>1797</v>
      </c>
      <c r="I33">
        <v>0</v>
      </c>
      <c r="J33" s="35">
        <f>I33/I$32</f>
        <v>0</v>
      </c>
    </row>
    <row r="34" spans="1:10" ht="16" thickBot="1">
      <c r="A34" s="10"/>
      <c r="B34" s="6"/>
      <c r="E34" s="34" t="s">
        <v>1549</v>
      </c>
      <c r="F34" s="47"/>
      <c r="H34" s="31" t="s">
        <v>1798</v>
      </c>
      <c r="I34" s="62">
        <v>1</v>
      </c>
      <c r="J34" s="36">
        <f>I34/I$32</f>
        <v>1</v>
      </c>
    </row>
    <row r="35" spans="1:10">
      <c r="A35" s="10" t="s">
        <v>1525</v>
      </c>
      <c r="B35" s="6"/>
      <c r="E35" s="32" t="s">
        <v>1526</v>
      </c>
      <c r="F35" s="35">
        <f t="shared" ref="F35:F44" si="1">C36/C$46</f>
        <v>0</v>
      </c>
    </row>
    <row r="36" spans="1:10" ht="16" thickBot="1">
      <c r="A36" s="10" t="s">
        <v>1526</v>
      </c>
      <c r="B36" s="6"/>
      <c r="C36">
        <v>0</v>
      </c>
      <c r="E36" s="32" t="s">
        <v>1527</v>
      </c>
      <c r="F36" s="35">
        <f t="shared" si="1"/>
        <v>0.375</v>
      </c>
    </row>
    <row r="37" spans="1:10">
      <c r="A37" s="10" t="s">
        <v>1527</v>
      </c>
      <c r="B37" s="6"/>
      <c r="C37">
        <v>6</v>
      </c>
      <c r="E37" s="32" t="s">
        <v>1528</v>
      </c>
      <c r="F37" s="35">
        <f t="shared" si="1"/>
        <v>0.1875</v>
      </c>
      <c r="H37" s="27" t="s">
        <v>1805</v>
      </c>
      <c r="I37" s="61">
        <v>1</v>
      </c>
      <c r="J37" s="28"/>
    </row>
    <row r="38" spans="1:10">
      <c r="A38" s="10" t="s">
        <v>1528</v>
      </c>
      <c r="B38" s="6"/>
      <c r="C38">
        <v>3</v>
      </c>
      <c r="E38" s="32" t="s">
        <v>1529</v>
      </c>
      <c r="F38" s="35">
        <f t="shared" si="1"/>
        <v>0.1875</v>
      </c>
      <c r="H38" s="29" t="s">
        <v>1799</v>
      </c>
      <c r="I38">
        <v>0</v>
      </c>
      <c r="J38" s="35">
        <f t="shared" ref="J38:J43" si="2">I38/I$37</f>
        <v>0</v>
      </c>
    </row>
    <row r="39" spans="1:10">
      <c r="A39" s="10" t="s">
        <v>1529</v>
      </c>
      <c r="B39" s="6"/>
      <c r="C39">
        <v>3</v>
      </c>
      <c r="E39" s="32" t="s">
        <v>1530</v>
      </c>
      <c r="F39" s="35">
        <f t="shared" si="1"/>
        <v>6.25E-2</v>
      </c>
      <c r="G39" t="s">
        <v>1486</v>
      </c>
      <c r="H39" s="29" t="s">
        <v>1800</v>
      </c>
      <c r="I39">
        <v>0</v>
      </c>
      <c r="J39" s="35">
        <f t="shared" si="2"/>
        <v>0</v>
      </c>
    </row>
    <row r="40" spans="1:10">
      <c r="A40" s="10" t="s">
        <v>1530</v>
      </c>
      <c r="B40" s="6"/>
      <c r="C40">
        <v>1</v>
      </c>
      <c r="E40" s="32" t="s">
        <v>1531</v>
      </c>
      <c r="F40" s="35">
        <f t="shared" si="1"/>
        <v>0</v>
      </c>
      <c r="H40" s="29" t="s">
        <v>1801</v>
      </c>
      <c r="I40">
        <v>0</v>
      </c>
      <c r="J40" s="35">
        <f t="shared" si="2"/>
        <v>0</v>
      </c>
    </row>
    <row r="41" spans="1:10">
      <c r="A41" s="10" t="s">
        <v>1531</v>
      </c>
      <c r="B41" s="6"/>
      <c r="C41">
        <v>0</v>
      </c>
      <c r="E41" s="32" t="s">
        <v>1532</v>
      </c>
      <c r="F41" s="35">
        <f t="shared" si="1"/>
        <v>0</v>
      </c>
      <c r="H41" s="29" t="s">
        <v>1802</v>
      </c>
      <c r="I41">
        <v>0</v>
      </c>
      <c r="J41" s="35">
        <f t="shared" si="2"/>
        <v>0</v>
      </c>
    </row>
    <row r="42" spans="1:10">
      <c r="A42" s="10" t="s">
        <v>1532</v>
      </c>
      <c r="B42" s="6"/>
      <c r="C42">
        <v>0</v>
      </c>
      <c r="E42" s="32" t="s">
        <v>1533</v>
      </c>
      <c r="F42" s="35">
        <f t="shared" si="1"/>
        <v>0</v>
      </c>
      <c r="H42" s="29" t="s">
        <v>1803</v>
      </c>
      <c r="I42">
        <v>0</v>
      </c>
      <c r="J42" s="35">
        <f t="shared" si="2"/>
        <v>0</v>
      </c>
    </row>
    <row r="43" spans="1:10" ht="16" thickBot="1">
      <c r="A43" s="10" t="s">
        <v>1533</v>
      </c>
      <c r="B43" s="6"/>
      <c r="C43">
        <v>0</v>
      </c>
      <c r="E43" s="32" t="s">
        <v>1534</v>
      </c>
      <c r="F43" s="35">
        <f t="shared" si="1"/>
        <v>0.125</v>
      </c>
      <c r="H43" s="31" t="s">
        <v>1804</v>
      </c>
      <c r="I43" s="62">
        <v>1</v>
      </c>
      <c r="J43" s="36">
        <f t="shared" si="2"/>
        <v>1</v>
      </c>
    </row>
    <row r="44" spans="1:10" ht="16" thickBot="1">
      <c r="A44" s="10" t="s">
        <v>1534</v>
      </c>
      <c r="B44" s="6"/>
      <c r="C44">
        <v>2</v>
      </c>
      <c r="E44" s="33" t="s">
        <v>1521</v>
      </c>
      <c r="F44" s="36">
        <f t="shared" si="1"/>
        <v>0.125</v>
      </c>
    </row>
    <row r="45" spans="1:10" ht="16" thickBot="1">
      <c r="A45" s="10" t="s">
        <v>1521</v>
      </c>
      <c r="B45" s="6"/>
      <c r="C45">
        <v>2</v>
      </c>
      <c r="E45" s="10"/>
      <c r="F45" s="45"/>
      <c r="H45" s="27" t="s">
        <v>1806</v>
      </c>
      <c r="I45" s="61">
        <v>1</v>
      </c>
      <c r="J45" s="28"/>
    </row>
    <row r="46" spans="1:10">
      <c r="A46" s="10" t="s">
        <v>1536</v>
      </c>
      <c r="B46" s="6"/>
      <c r="C46">
        <v>16</v>
      </c>
      <c r="E46" s="34" t="s">
        <v>1550</v>
      </c>
      <c r="F46" s="47"/>
      <c r="H46" s="29" t="s">
        <v>1799</v>
      </c>
      <c r="I46">
        <v>0</v>
      </c>
      <c r="J46" s="35">
        <f t="shared" ref="J46:J51" si="3">I46/I$45</f>
        <v>0</v>
      </c>
    </row>
    <row r="47" spans="1:10">
      <c r="A47" s="10"/>
      <c r="B47" s="6"/>
      <c r="E47" s="32" t="s">
        <v>1542</v>
      </c>
      <c r="F47" s="35">
        <f>C48/C$18</f>
        <v>1</v>
      </c>
      <c r="H47" s="29" t="s">
        <v>1800</v>
      </c>
      <c r="I47">
        <v>1</v>
      </c>
      <c r="J47" s="35">
        <f t="shared" si="3"/>
        <v>1</v>
      </c>
    </row>
    <row r="48" spans="1:10">
      <c r="A48" s="10" t="s">
        <v>1537</v>
      </c>
      <c r="B48" s="6"/>
      <c r="C48">
        <v>10</v>
      </c>
      <c r="E48" s="32" t="s">
        <v>1543</v>
      </c>
      <c r="F48" s="35">
        <f>C49/C$18</f>
        <v>0</v>
      </c>
      <c r="H48" s="29" t="s">
        <v>1801</v>
      </c>
      <c r="I48">
        <v>0</v>
      </c>
      <c r="J48" s="35">
        <f t="shared" si="3"/>
        <v>0</v>
      </c>
    </row>
    <row r="49" spans="1:10" ht="16" thickBot="1">
      <c r="A49" s="10" t="s">
        <v>1538</v>
      </c>
      <c r="B49" s="6"/>
      <c r="C49">
        <v>0</v>
      </c>
      <c r="E49" s="33" t="s">
        <v>1544</v>
      </c>
      <c r="F49" s="36">
        <f>C50/C$18</f>
        <v>0</v>
      </c>
      <c r="H49" s="29" t="s">
        <v>1802</v>
      </c>
      <c r="I49">
        <v>0</v>
      </c>
      <c r="J49" s="35">
        <f t="shared" si="3"/>
        <v>0</v>
      </c>
    </row>
    <row r="50" spans="1:10" ht="16" thickBot="1">
      <c r="A50" s="10" t="s">
        <v>1539</v>
      </c>
      <c r="B50" s="6"/>
      <c r="C50">
        <v>0</v>
      </c>
      <c r="E50" s="10"/>
      <c r="F50" s="45"/>
      <c r="G50" t="s">
        <v>1486</v>
      </c>
      <c r="H50" s="29" t="s">
        <v>1803</v>
      </c>
      <c r="I50">
        <v>0</v>
      </c>
      <c r="J50" s="35">
        <f t="shared" si="3"/>
        <v>0</v>
      </c>
    </row>
    <row r="51" spans="1:10" ht="16" thickBot="1">
      <c r="A51" s="10"/>
      <c r="B51" s="6"/>
      <c r="E51" s="34" t="s">
        <v>1547</v>
      </c>
      <c r="F51" s="47"/>
      <c r="H51" s="31" t="s">
        <v>1804</v>
      </c>
      <c r="I51" s="62">
        <v>0</v>
      </c>
      <c r="J51" s="36">
        <f t="shared" si="3"/>
        <v>0</v>
      </c>
    </row>
    <row r="52" spans="1:10">
      <c r="A52" s="10" t="s">
        <v>1547</v>
      </c>
      <c r="B52" s="6"/>
      <c r="E52" s="32" t="s">
        <v>1596</v>
      </c>
      <c r="F52" s="35">
        <f>C53/C$18</f>
        <v>1</v>
      </c>
    </row>
    <row r="53" spans="1:10" ht="16" thickBot="1">
      <c r="A53" s="10" t="s">
        <v>1568</v>
      </c>
      <c r="B53" s="6"/>
      <c r="C53">
        <v>10</v>
      </c>
      <c r="E53" s="33" t="s">
        <v>1457</v>
      </c>
      <c r="F53" s="36">
        <f>C54/C$18</f>
        <v>0</v>
      </c>
    </row>
    <row r="54" spans="1:10" ht="16" thickBot="1">
      <c r="A54" s="10" t="s">
        <v>1457</v>
      </c>
      <c r="B54" s="6"/>
      <c r="C54">
        <v>0</v>
      </c>
      <c r="E54" s="10"/>
      <c r="F54" s="48"/>
      <c r="H54" s="27" t="s">
        <v>1520</v>
      </c>
      <c r="I54" s="61">
        <v>3</v>
      </c>
      <c r="J54" s="28"/>
    </row>
    <row r="55" spans="1:10">
      <c r="A55" s="10"/>
      <c r="B55" s="6"/>
      <c r="C55" t="s">
        <v>1486</v>
      </c>
      <c r="E55" s="34" t="s">
        <v>1597</v>
      </c>
      <c r="F55" s="47"/>
      <c r="H55" s="29" t="s">
        <v>1808</v>
      </c>
      <c r="I55">
        <v>1</v>
      </c>
      <c r="J55" s="35">
        <f>I55/I$54</f>
        <v>0.33333333333333331</v>
      </c>
    </row>
    <row r="56" spans="1:10">
      <c r="A56" s="10" t="s">
        <v>1598</v>
      </c>
      <c r="B56" s="6"/>
      <c r="E56" s="32" t="s">
        <v>1569</v>
      </c>
      <c r="F56" s="35">
        <f t="shared" ref="F56:F61" si="4">C57/C$18</f>
        <v>0.9</v>
      </c>
      <c r="H56" s="29" t="s">
        <v>1809</v>
      </c>
      <c r="I56">
        <v>0</v>
      </c>
      <c r="J56" s="35">
        <f>I56/I$54</f>
        <v>0</v>
      </c>
    </row>
    <row r="57" spans="1:10">
      <c r="A57" s="10" t="s">
        <v>1569</v>
      </c>
      <c r="B57" s="6"/>
      <c r="C57">
        <v>9</v>
      </c>
      <c r="E57" s="29" t="s">
        <v>1571</v>
      </c>
      <c r="F57" s="35">
        <f t="shared" si="4"/>
        <v>0.1</v>
      </c>
      <c r="H57" s="29" t="s">
        <v>1810</v>
      </c>
      <c r="I57">
        <v>0</v>
      </c>
      <c r="J57" s="35">
        <f>I57/I$54</f>
        <v>0</v>
      </c>
    </row>
    <row r="58" spans="1:10" ht="16" thickBot="1">
      <c r="A58" s="10" t="s">
        <v>1571</v>
      </c>
      <c r="B58" s="6"/>
      <c r="C58">
        <v>1</v>
      </c>
      <c r="E58" s="29" t="s">
        <v>1572</v>
      </c>
      <c r="F58" s="35">
        <f t="shared" si="4"/>
        <v>0</v>
      </c>
      <c r="H58" s="31" t="s">
        <v>1811</v>
      </c>
      <c r="I58" s="62">
        <v>2</v>
      </c>
      <c r="J58" s="36">
        <f>I58/I$54</f>
        <v>0.66666666666666663</v>
      </c>
    </row>
    <row r="59" spans="1:10">
      <c r="A59" s="10" t="s">
        <v>1572</v>
      </c>
      <c r="B59" s="6"/>
      <c r="C59">
        <v>0</v>
      </c>
      <c r="E59" s="29" t="s">
        <v>1573</v>
      </c>
      <c r="F59" s="35">
        <f t="shared" si="4"/>
        <v>0</v>
      </c>
    </row>
    <row r="60" spans="1:10" ht="16" thickBot="1">
      <c r="A60" s="10" t="s">
        <v>1573</v>
      </c>
      <c r="B60" s="6"/>
      <c r="C60">
        <v>0</v>
      </c>
      <c r="E60" s="29" t="s">
        <v>1570</v>
      </c>
      <c r="F60" s="35">
        <f t="shared" si="4"/>
        <v>0</v>
      </c>
    </row>
    <row r="61" spans="1:10" ht="16" thickBot="1">
      <c r="A61" s="10" t="s">
        <v>1570</v>
      </c>
      <c r="B61" s="6"/>
      <c r="C61">
        <v>0</v>
      </c>
      <c r="E61" s="31" t="s">
        <v>1574</v>
      </c>
      <c r="F61" s="36">
        <f t="shared" si="4"/>
        <v>0</v>
      </c>
      <c r="H61" s="27" t="s">
        <v>1574</v>
      </c>
      <c r="I61" s="61">
        <v>1</v>
      </c>
      <c r="J61" s="28"/>
    </row>
    <row r="62" spans="1:10" ht="16" thickBot="1">
      <c r="A62" s="10" t="s">
        <v>1574</v>
      </c>
      <c r="B62" s="6"/>
      <c r="C62">
        <v>0</v>
      </c>
      <c r="E62"/>
      <c r="F62" s="45"/>
      <c r="H62" s="29" t="s">
        <v>1812</v>
      </c>
      <c r="I62">
        <v>1</v>
      </c>
      <c r="J62" s="35">
        <f>I62/I$61</f>
        <v>1</v>
      </c>
    </row>
    <row r="63" spans="1:10">
      <c r="A63" s="10"/>
      <c r="B63" s="6"/>
      <c r="E63" s="27" t="s">
        <v>1551</v>
      </c>
      <c r="F63" s="47"/>
      <c r="H63" s="29" t="s">
        <v>1813</v>
      </c>
      <c r="I63">
        <v>0</v>
      </c>
      <c r="J63" s="35">
        <f>I63/I$61</f>
        <v>0</v>
      </c>
    </row>
    <row r="64" spans="1:10">
      <c r="A64" s="10" t="s">
        <v>1540</v>
      </c>
      <c r="B64" s="6"/>
      <c r="C64">
        <v>3</v>
      </c>
      <c r="E64" s="29" t="s">
        <v>1506</v>
      </c>
      <c r="F64" s="35">
        <f>C65/C$18</f>
        <v>0.6</v>
      </c>
      <c r="H64" s="29" t="s">
        <v>1814</v>
      </c>
      <c r="I64">
        <v>0</v>
      </c>
      <c r="J64" s="35">
        <f>I64/I$61</f>
        <v>0</v>
      </c>
    </row>
    <row r="65" spans="1:10">
      <c r="A65" s="10" t="s">
        <v>1506</v>
      </c>
      <c r="B65" s="6"/>
      <c r="C65">
        <v>6</v>
      </c>
      <c r="E65" s="29" t="s">
        <v>1503</v>
      </c>
      <c r="F65" s="35">
        <f>C66/C$18</f>
        <v>0.2</v>
      </c>
      <c r="H65" s="29" t="s">
        <v>1716</v>
      </c>
      <c r="I65">
        <v>0</v>
      </c>
      <c r="J65" s="35">
        <f>I65/I$61</f>
        <v>0</v>
      </c>
    </row>
    <row r="66" spans="1:10" ht="16" thickBot="1">
      <c r="A66" s="10" t="s">
        <v>1503</v>
      </c>
      <c r="B66" s="6"/>
      <c r="C66">
        <v>2</v>
      </c>
      <c r="E66" s="29" t="s">
        <v>1502</v>
      </c>
      <c r="F66" s="35">
        <f>C67/C$18</f>
        <v>0.2</v>
      </c>
      <c r="H66" s="31" t="s">
        <v>1815</v>
      </c>
      <c r="I66" s="62">
        <v>0</v>
      </c>
      <c r="J66" s="36">
        <f>I66/I$61</f>
        <v>0</v>
      </c>
    </row>
    <row r="67" spans="1:10">
      <c r="A67" s="10" t="s">
        <v>1502</v>
      </c>
      <c r="B67" s="6"/>
      <c r="C67">
        <v>2</v>
      </c>
      <c r="E67" s="29" t="s">
        <v>1507</v>
      </c>
      <c r="F67" s="35">
        <f>C68/C$18</f>
        <v>0</v>
      </c>
    </row>
    <row r="68" spans="1:10" ht="16" thickBot="1">
      <c r="A68" s="10" t="s">
        <v>1507</v>
      </c>
      <c r="B68" s="6"/>
      <c r="C68">
        <v>0</v>
      </c>
      <c r="E68" s="31" t="s">
        <v>1505</v>
      </c>
      <c r="F68" s="36">
        <f>C69/C$18</f>
        <v>0</v>
      </c>
    </row>
    <row r="69" spans="1:10">
      <c r="A69" s="10" t="s">
        <v>1505</v>
      </c>
      <c r="B69" s="6"/>
      <c r="C69">
        <v>0</v>
      </c>
      <c r="E69"/>
      <c r="F69" s="45"/>
    </row>
    <row r="70" spans="1:10">
      <c r="A70" s="10" t="s">
        <v>1504</v>
      </c>
      <c r="B70" s="6"/>
      <c r="C70">
        <v>0</v>
      </c>
      <c r="E70"/>
      <c r="F70" s="45"/>
    </row>
    <row r="71" spans="1:10">
      <c r="A71" s="10"/>
      <c r="B71" s="6"/>
      <c r="E71"/>
      <c r="F71" s="45"/>
    </row>
    <row r="72" spans="1:10">
      <c r="A72" s="10"/>
      <c r="B72" s="6"/>
      <c r="E72"/>
      <c r="F72" s="45"/>
    </row>
    <row r="73" spans="1:10">
      <c r="A73" s="10"/>
      <c r="B73" s="6"/>
      <c r="E73"/>
      <c r="F73" s="45"/>
    </row>
    <row r="295" spans="3:8">
      <c r="H295" t="s">
        <v>1454</v>
      </c>
    </row>
    <row r="296" spans="3:8">
      <c r="H296" t="s">
        <v>1457</v>
      </c>
    </row>
    <row r="297" spans="3:8">
      <c r="C297" t="s">
        <v>1486</v>
      </c>
      <c r="H297" t="s">
        <v>652</v>
      </c>
    </row>
  </sheetData>
  <sortState xmlns:xlrd2="http://schemas.microsoft.com/office/spreadsheetml/2017/richdata2" ref="A2:I297">
    <sortCondition ref="A2:A297"/>
  </sortState>
  <mergeCells count="1">
    <mergeCell ref="A14:F14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topLeftCell="A47" workbookViewId="0">
      <selection activeCell="A67" sqref="A67:A69"/>
    </sheetView>
  </sheetViews>
  <sheetFormatPr baseColWidth="10" defaultRowHeight="15"/>
  <cols>
    <col min="2" max="2" width="23.5" customWidth="1"/>
    <col min="7" max="7" width="47" customWidth="1"/>
    <col min="8" max="8" width="46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44228</v>
      </c>
      <c r="B2" t="s">
        <v>65</v>
      </c>
      <c r="C2" t="s">
        <v>1503</v>
      </c>
      <c r="D2" t="s">
        <v>1509</v>
      </c>
      <c r="E2" t="s">
        <v>18</v>
      </c>
      <c r="F2" s="8">
        <v>739.8</v>
      </c>
      <c r="G2" t="s">
        <v>68</v>
      </c>
      <c r="H2" t="s">
        <v>20</v>
      </c>
    </row>
    <row r="3" spans="1:8">
      <c r="A3" s="6">
        <v>44229</v>
      </c>
      <c r="B3" t="s">
        <v>70</v>
      </c>
      <c r="C3" t="s">
        <v>1506</v>
      </c>
      <c r="D3" t="s">
        <v>1509</v>
      </c>
      <c r="E3" t="s">
        <v>18</v>
      </c>
      <c r="F3" s="8">
        <v>1959.58</v>
      </c>
      <c r="G3" t="s">
        <v>73</v>
      </c>
      <c r="H3" t="s">
        <v>76</v>
      </c>
    </row>
    <row r="4" spans="1:8">
      <c r="A4" s="6">
        <v>44230</v>
      </c>
      <c r="B4" t="s">
        <v>74</v>
      </c>
      <c r="C4" t="s">
        <v>1506</v>
      </c>
      <c r="D4" t="s">
        <v>1509</v>
      </c>
      <c r="E4" t="s">
        <v>18</v>
      </c>
      <c r="F4" s="8">
        <v>1921.5</v>
      </c>
      <c r="G4" t="s">
        <v>1465</v>
      </c>
      <c r="H4" t="s">
        <v>20</v>
      </c>
    </row>
    <row r="5" spans="1:8">
      <c r="A5" s="6">
        <v>44231</v>
      </c>
      <c r="B5" t="s">
        <v>86</v>
      </c>
      <c r="C5" t="s">
        <v>1506</v>
      </c>
      <c r="D5" t="s">
        <v>1509</v>
      </c>
      <c r="E5" t="s">
        <v>63</v>
      </c>
      <c r="F5" s="8">
        <v>1098</v>
      </c>
      <c r="G5" t="s">
        <v>89</v>
      </c>
      <c r="H5" t="s">
        <v>94</v>
      </c>
    </row>
    <row r="6" spans="1:8">
      <c r="A6" s="6">
        <v>44231</v>
      </c>
      <c r="B6" t="s">
        <v>39</v>
      </c>
      <c r="C6" t="s">
        <v>1506</v>
      </c>
      <c r="D6" t="s">
        <v>1509</v>
      </c>
      <c r="E6" t="s">
        <v>1461</v>
      </c>
      <c r="F6" s="8">
        <v>2084.7199999999998</v>
      </c>
      <c r="G6" t="s">
        <v>1462</v>
      </c>
      <c r="H6" t="s">
        <v>1457</v>
      </c>
    </row>
    <row r="7" spans="1:8">
      <c r="A7" s="6">
        <v>44232</v>
      </c>
      <c r="B7" t="s">
        <v>81</v>
      </c>
      <c r="C7" t="s">
        <v>1506</v>
      </c>
      <c r="D7" t="s">
        <v>1509</v>
      </c>
      <c r="E7" t="s">
        <v>18</v>
      </c>
      <c r="F7" s="8">
        <v>1080</v>
      </c>
      <c r="G7" t="s">
        <v>84</v>
      </c>
      <c r="H7" t="s">
        <v>85</v>
      </c>
    </row>
    <row r="8" spans="1:8">
      <c r="A8" s="6">
        <v>44236</v>
      </c>
      <c r="B8" t="s">
        <v>90</v>
      </c>
      <c r="C8" t="s">
        <v>1503</v>
      </c>
      <c r="D8" t="s">
        <v>1509</v>
      </c>
      <c r="E8" t="s">
        <v>18</v>
      </c>
      <c r="F8" s="8">
        <v>859</v>
      </c>
      <c r="G8" t="s">
        <v>93</v>
      </c>
      <c r="H8" t="s">
        <v>108</v>
      </c>
    </row>
    <row r="9" spans="1:8">
      <c r="A9" s="6">
        <v>44237</v>
      </c>
      <c r="B9" t="s">
        <v>104</v>
      </c>
      <c r="C9" t="s">
        <v>1506</v>
      </c>
      <c r="D9" t="s">
        <v>1509</v>
      </c>
      <c r="E9" t="s">
        <v>18</v>
      </c>
      <c r="F9" s="8">
        <v>1561</v>
      </c>
      <c r="G9" t="s">
        <v>107</v>
      </c>
      <c r="H9" t="s">
        <v>124</v>
      </c>
    </row>
    <row r="10" spans="1:8">
      <c r="A10" s="6">
        <v>44237</v>
      </c>
      <c r="B10" t="s">
        <v>95</v>
      </c>
      <c r="C10" t="s">
        <v>1503</v>
      </c>
      <c r="D10" t="s">
        <v>1509</v>
      </c>
      <c r="E10" t="s">
        <v>18</v>
      </c>
      <c r="F10" s="8">
        <v>600</v>
      </c>
      <c r="G10" t="s">
        <v>98</v>
      </c>
      <c r="H10" t="s">
        <v>112</v>
      </c>
    </row>
    <row r="11" spans="1:8">
      <c r="A11" s="6">
        <v>44239</v>
      </c>
      <c r="B11" t="s">
        <v>125</v>
      </c>
      <c r="C11" t="s">
        <v>1506</v>
      </c>
      <c r="D11" t="s">
        <v>1509</v>
      </c>
      <c r="E11" t="s">
        <v>18</v>
      </c>
      <c r="F11" s="8">
        <v>3262.14</v>
      </c>
      <c r="G11" t="s">
        <v>1816</v>
      </c>
      <c r="H11" t="s">
        <v>935</v>
      </c>
    </row>
    <row r="12" spans="1:8">
      <c r="A12" s="6">
        <v>44240</v>
      </c>
      <c r="B12" t="s">
        <v>100</v>
      </c>
      <c r="C12" t="s">
        <v>1506</v>
      </c>
      <c r="D12" t="s">
        <v>1510</v>
      </c>
      <c r="E12" t="s">
        <v>18</v>
      </c>
      <c r="F12" s="8">
        <v>11807.64</v>
      </c>
      <c r="G12" t="s">
        <v>103</v>
      </c>
      <c r="H12" t="s">
        <v>111</v>
      </c>
    </row>
    <row r="13" spans="1:8">
      <c r="A13" s="6">
        <v>44242</v>
      </c>
      <c r="B13" t="s">
        <v>128</v>
      </c>
      <c r="C13" t="s">
        <v>1503</v>
      </c>
      <c r="D13" t="s">
        <v>1509</v>
      </c>
      <c r="E13" t="s">
        <v>18</v>
      </c>
      <c r="F13" s="8">
        <v>1455.12</v>
      </c>
      <c r="G13" t="s">
        <v>1470</v>
      </c>
      <c r="H13" t="s">
        <v>138</v>
      </c>
    </row>
    <row r="14" spans="1:8">
      <c r="A14" s="6">
        <v>44242</v>
      </c>
      <c r="B14" t="s">
        <v>128</v>
      </c>
      <c r="C14" t="s">
        <v>1503</v>
      </c>
      <c r="D14" t="s">
        <v>1509</v>
      </c>
      <c r="E14" t="s">
        <v>1455</v>
      </c>
      <c r="F14" s="8">
        <v>2089.8000000000002</v>
      </c>
      <c r="G14" t="s">
        <v>1469</v>
      </c>
      <c r="H14" t="s">
        <v>1457</v>
      </c>
    </row>
    <row r="15" spans="1:8">
      <c r="A15" s="6">
        <v>44243</v>
      </c>
      <c r="B15" t="s">
        <v>114</v>
      </c>
      <c r="C15" t="s">
        <v>1506</v>
      </c>
      <c r="D15" t="s">
        <v>1509</v>
      </c>
      <c r="E15" t="s">
        <v>18</v>
      </c>
      <c r="F15" s="8">
        <v>792</v>
      </c>
      <c r="G15" t="s">
        <v>117</v>
      </c>
      <c r="H15" t="s">
        <v>118</v>
      </c>
    </row>
    <row r="16" spans="1:8">
      <c r="A16" s="6">
        <v>44243</v>
      </c>
      <c r="B16" t="s">
        <v>120</v>
      </c>
      <c r="C16" t="s">
        <v>1506</v>
      </c>
      <c r="D16" t="s">
        <v>1509</v>
      </c>
      <c r="E16" t="s">
        <v>18</v>
      </c>
      <c r="F16" s="8">
        <v>1170</v>
      </c>
      <c r="G16" t="s">
        <v>123</v>
      </c>
      <c r="H16" t="s">
        <v>110</v>
      </c>
    </row>
    <row r="17" spans="1:10">
      <c r="A17" s="6">
        <v>44247</v>
      </c>
      <c r="B17" t="s">
        <v>132</v>
      </c>
      <c r="C17" t="s">
        <v>1506</v>
      </c>
      <c r="D17" t="s">
        <v>1509</v>
      </c>
      <c r="E17" t="s">
        <v>18</v>
      </c>
      <c r="F17" s="8">
        <v>822</v>
      </c>
      <c r="G17" t="s">
        <v>135</v>
      </c>
      <c r="H17" t="s">
        <v>136</v>
      </c>
    </row>
    <row r="18" spans="1:10">
      <c r="A18" s="6">
        <v>44249</v>
      </c>
      <c r="B18" t="s">
        <v>141</v>
      </c>
      <c r="C18" t="s">
        <v>1504</v>
      </c>
      <c r="D18" t="s">
        <v>1509</v>
      </c>
      <c r="E18" t="s">
        <v>18</v>
      </c>
      <c r="F18" s="8">
        <v>1197</v>
      </c>
      <c r="G18" t="s">
        <v>1472</v>
      </c>
      <c r="H18" t="s">
        <v>151</v>
      </c>
    </row>
    <row r="19" spans="1:10">
      <c r="A19" s="6">
        <v>44250</v>
      </c>
      <c r="B19" t="s">
        <v>145</v>
      </c>
      <c r="C19" t="s">
        <v>1506</v>
      </c>
      <c r="D19" t="s">
        <v>1509</v>
      </c>
      <c r="E19" t="s">
        <v>18</v>
      </c>
      <c r="F19" s="8">
        <v>949</v>
      </c>
      <c r="G19" t="s">
        <v>148</v>
      </c>
      <c r="H19" t="s">
        <v>152</v>
      </c>
    </row>
    <row r="20" spans="1:10">
      <c r="A20" s="6">
        <v>44251</v>
      </c>
      <c r="B20" t="s">
        <v>141</v>
      </c>
      <c r="C20" t="s">
        <v>1504</v>
      </c>
      <c r="D20" t="s">
        <v>1509</v>
      </c>
      <c r="E20" t="s">
        <v>1455</v>
      </c>
      <c r="F20" s="8">
        <v>2153.6</v>
      </c>
      <c r="G20" t="s">
        <v>1471</v>
      </c>
      <c r="H20" t="s">
        <v>1457</v>
      </c>
    </row>
    <row r="21" spans="1:10">
      <c r="A21" s="6">
        <v>44252</v>
      </c>
      <c r="B21" t="s">
        <v>154</v>
      </c>
      <c r="C21" t="s">
        <v>1506</v>
      </c>
      <c r="D21" t="s">
        <v>1509</v>
      </c>
      <c r="E21" t="s">
        <v>157</v>
      </c>
      <c r="F21" s="8">
        <v>751</v>
      </c>
      <c r="G21" t="s">
        <v>158</v>
      </c>
      <c r="H21" t="s">
        <v>159</v>
      </c>
    </row>
    <row r="25" spans="1:10" ht="16" thickBot="1">
      <c r="A25" s="106" t="s">
        <v>1541</v>
      </c>
      <c r="B25" s="106"/>
      <c r="C25" s="106"/>
      <c r="D25" s="106"/>
      <c r="E25" s="106"/>
      <c r="F25" s="106"/>
    </row>
    <row r="26" spans="1:10">
      <c r="A26" t="s">
        <v>1513</v>
      </c>
      <c r="C26" s="8">
        <f>SUM(F2:F21)</f>
        <v>38352.899999999994</v>
      </c>
      <c r="E26" s="27" t="s">
        <v>1546</v>
      </c>
      <c r="F26" s="28"/>
      <c r="H26" s="27" t="s">
        <v>1515</v>
      </c>
      <c r="I26" s="61">
        <v>6</v>
      </c>
      <c r="J26" s="47"/>
    </row>
    <row r="27" spans="1:10">
      <c r="E27" s="29" t="s">
        <v>1552</v>
      </c>
      <c r="F27" s="30">
        <f>SUM(F2:F21)</f>
        <v>38352.899999999994</v>
      </c>
      <c r="H27" s="29" t="s">
        <v>1768</v>
      </c>
      <c r="I27">
        <v>4</v>
      </c>
      <c r="J27" s="35">
        <f>I27/I$26</f>
        <v>0.66666666666666663</v>
      </c>
    </row>
    <row r="28" spans="1:10" ht="16" thickBot="1">
      <c r="A28" t="s">
        <v>1545</v>
      </c>
      <c r="C28">
        <v>23</v>
      </c>
      <c r="E28" s="31" t="s">
        <v>1553</v>
      </c>
      <c r="F28" s="42">
        <f>C26/C28</f>
        <v>1667.5173913043475</v>
      </c>
      <c r="H28" s="29" t="s">
        <v>1769</v>
      </c>
      <c r="I28">
        <v>2</v>
      </c>
      <c r="J28" s="35">
        <f>I28/I$26</f>
        <v>0.33333333333333331</v>
      </c>
    </row>
    <row r="29" spans="1:10" ht="16" thickBot="1">
      <c r="A29" t="s">
        <v>1759</v>
      </c>
      <c r="C29">
        <v>20</v>
      </c>
      <c r="H29" s="31" t="s">
        <v>1770</v>
      </c>
      <c r="I29" s="62">
        <v>0</v>
      </c>
      <c r="J29" s="36">
        <f>I29/I$26</f>
        <v>0</v>
      </c>
    </row>
    <row r="30" spans="1:10">
      <c r="D30" t="s">
        <v>1486</v>
      </c>
      <c r="E30" s="27" t="s">
        <v>1547</v>
      </c>
      <c r="F30" s="28"/>
    </row>
    <row r="31" spans="1:10" ht="16" thickBot="1">
      <c r="A31" t="s">
        <v>1511</v>
      </c>
      <c r="C31">
        <v>19</v>
      </c>
      <c r="D31" t="s">
        <v>1486</v>
      </c>
      <c r="E31" s="29" t="s">
        <v>1509</v>
      </c>
      <c r="F31" s="35">
        <f>C31/C$29</f>
        <v>0.95</v>
      </c>
    </row>
    <row r="32" spans="1:10" ht="16" thickBot="1">
      <c r="A32" t="s">
        <v>1512</v>
      </c>
      <c r="C32">
        <v>1</v>
      </c>
      <c r="E32" s="31" t="s">
        <v>1510</v>
      </c>
      <c r="F32" s="36">
        <f>C32/C$29</f>
        <v>0.05</v>
      </c>
      <c r="G32" t="s">
        <v>1486</v>
      </c>
      <c r="H32" s="27" t="s">
        <v>1807</v>
      </c>
      <c r="I32" s="61">
        <v>9</v>
      </c>
      <c r="J32" s="47"/>
    </row>
    <row r="33" spans="1:10" ht="16" thickBot="1">
      <c r="H33" s="29" t="s">
        <v>1771</v>
      </c>
      <c r="I33">
        <v>5</v>
      </c>
      <c r="J33" s="35">
        <f>I33/I$32</f>
        <v>0.55555555555555558</v>
      </c>
    </row>
    <row r="34" spans="1:10">
      <c r="A34" t="s">
        <v>1524</v>
      </c>
      <c r="E34" s="27" t="s">
        <v>1548</v>
      </c>
      <c r="F34" s="28"/>
      <c r="H34" s="29" t="s">
        <v>1772</v>
      </c>
      <c r="I34">
        <v>3</v>
      </c>
      <c r="J34" s="35">
        <f>I34/I$32</f>
        <v>0.33333333333333331</v>
      </c>
    </row>
    <row r="35" spans="1:10">
      <c r="A35" t="s">
        <v>1514</v>
      </c>
      <c r="C35">
        <v>0</v>
      </c>
      <c r="E35" s="29" t="s">
        <v>1514</v>
      </c>
      <c r="F35" s="35">
        <f t="shared" ref="F35:F43" si="0">C35/C$44</f>
        <v>0</v>
      </c>
      <c r="H35" s="29" t="s">
        <v>1773</v>
      </c>
      <c r="I35">
        <v>1</v>
      </c>
      <c r="J35" s="35">
        <f>I35/I$32</f>
        <v>0.1111111111111111</v>
      </c>
    </row>
    <row r="36" spans="1:10">
      <c r="A36" t="s">
        <v>1515</v>
      </c>
      <c r="C36">
        <v>6</v>
      </c>
      <c r="E36" s="29" t="s">
        <v>1515</v>
      </c>
      <c r="F36" s="35">
        <f t="shared" si="0"/>
        <v>0.16216216216216217</v>
      </c>
      <c r="H36" s="29"/>
      <c r="J36" s="35"/>
    </row>
    <row r="37" spans="1:10">
      <c r="A37" t="s">
        <v>1516</v>
      </c>
      <c r="C37">
        <v>9</v>
      </c>
      <c r="E37" s="29" t="s">
        <v>1516</v>
      </c>
      <c r="F37" s="35">
        <f t="shared" si="0"/>
        <v>0.24324324324324326</v>
      </c>
      <c r="H37" s="29" t="s">
        <v>1818</v>
      </c>
      <c r="I37">
        <v>1</v>
      </c>
      <c r="J37" s="35">
        <f t="shared" ref="J37:J43" si="1">I37/I$32</f>
        <v>0.1111111111111111</v>
      </c>
    </row>
    <row r="38" spans="1:10">
      <c r="A38" t="s">
        <v>1517</v>
      </c>
      <c r="C38">
        <v>0</v>
      </c>
      <c r="E38" s="29" t="s">
        <v>1517</v>
      </c>
      <c r="F38" s="35">
        <f t="shared" si="0"/>
        <v>0</v>
      </c>
      <c r="H38" s="29" t="s">
        <v>1819</v>
      </c>
      <c r="I38">
        <v>0</v>
      </c>
      <c r="J38" s="35">
        <f t="shared" si="1"/>
        <v>0</v>
      </c>
    </row>
    <row r="39" spans="1:10">
      <c r="A39" t="s">
        <v>1518</v>
      </c>
      <c r="C39">
        <v>2</v>
      </c>
      <c r="E39" s="29" t="s">
        <v>1518</v>
      </c>
      <c r="F39" s="35">
        <f t="shared" si="0"/>
        <v>5.4054054054054057E-2</v>
      </c>
      <c r="G39" t="s">
        <v>1486</v>
      </c>
      <c r="H39" s="29" t="s">
        <v>1774</v>
      </c>
      <c r="I39">
        <v>1</v>
      </c>
      <c r="J39" s="35">
        <f t="shared" si="1"/>
        <v>0.1111111111111111</v>
      </c>
    </row>
    <row r="40" spans="1:10">
      <c r="A40" t="s">
        <v>1519</v>
      </c>
      <c r="C40">
        <v>4</v>
      </c>
      <c r="E40" s="29" t="s">
        <v>1519</v>
      </c>
      <c r="F40" s="35">
        <f t="shared" si="0"/>
        <v>0.10810810810810811</v>
      </c>
      <c r="H40" s="29" t="s">
        <v>1775</v>
      </c>
      <c r="I40">
        <v>1</v>
      </c>
      <c r="J40" s="35">
        <f t="shared" si="1"/>
        <v>0.1111111111111111</v>
      </c>
    </row>
    <row r="41" spans="1:10">
      <c r="A41" t="s">
        <v>1520</v>
      </c>
      <c r="C41">
        <v>9</v>
      </c>
      <c r="E41" s="29" t="s">
        <v>1520</v>
      </c>
      <c r="F41" s="35">
        <f t="shared" si="0"/>
        <v>0.24324324324324326</v>
      </c>
      <c r="H41" s="29" t="s">
        <v>1776</v>
      </c>
      <c r="I41">
        <v>2</v>
      </c>
      <c r="J41" s="35">
        <f t="shared" si="1"/>
        <v>0.22222222222222221</v>
      </c>
    </row>
    <row r="42" spans="1:10">
      <c r="A42" t="s">
        <v>1522</v>
      </c>
      <c r="C42">
        <v>0</v>
      </c>
      <c r="E42" s="29" t="s">
        <v>1522</v>
      </c>
      <c r="F42" s="35">
        <f t="shared" si="0"/>
        <v>0</v>
      </c>
      <c r="H42" s="29" t="s">
        <v>1777</v>
      </c>
      <c r="I42">
        <v>3</v>
      </c>
      <c r="J42" s="35">
        <f t="shared" si="1"/>
        <v>0.33333333333333331</v>
      </c>
    </row>
    <row r="43" spans="1:10" ht="16" thickBot="1">
      <c r="A43" t="s">
        <v>1574</v>
      </c>
      <c r="C43">
        <v>7</v>
      </c>
      <c r="E43" s="31" t="s">
        <v>1574</v>
      </c>
      <c r="F43" s="36">
        <f t="shared" si="0"/>
        <v>0.1891891891891892</v>
      </c>
      <c r="H43" s="31" t="s">
        <v>1817</v>
      </c>
      <c r="I43" s="62">
        <v>1</v>
      </c>
      <c r="J43" s="36">
        <f t="shared" si="1"/>
        <v>0.1111111111111111</v>
      </c>
    </row>
    <row r="44" spans="1:10" ht="16" thickBot="1">
      <c r="A44" t="s">
        <v>1523</v>
      </c>
      <c r="C44">
        <f>SUM(C35:C43)</f>
        <v>37</v>
      </c>
    </row>
    <row r="45" spans="1:10" ht="16" thickBot="1">
      <c r="E45" s="27" t="s">
        <v>1549</v>
      </c>
      <c r="F45" s="28"/>
    </row>
    <row r="46" spans="1:10">
      <c r="A46" t="s">
        <v>1525</v>
      </c>
      <c r="E46" s="29" t="s">
        <v>1526</v>
      </c>
      <c r="F46" s="35">
        <f>C47/C$57</f>
        <v>0.15</v>
      </c>
      <c r="H46" s="27" t="s">
        <v>1518</v>
      </c>
      <c r="I46" s="61">
        <v>2</v>
      </c>
      <c r="J46" s="47"/>
    </row>
    <row r="47" spans="1:10">
      <c r="A47" t="s">
        <v>1526</v>
      </c>
      <c r="C47">
        <v>6</v>
      </c>
      <c r="E47" s="29" t="s">
        <v>1527</v>
      </c>
      <c r="F47" s="35">
        <f t="shared" ref="F47:F55" si="2">C48/C$57</f>
        <v>0.57499999999999996</v>
      </c>
      <c r="G47" t="s">
        <v>1486</v>
      </c>
      <c r="H47" s="29" t="s">
        <v>1797</v>
      </c>
      <c r="I47">
        <v>0</v>
      </c>
      <c r="J47" s="35">
        <f>I47/I$46</f>
        <v>0</v>
      </c>
    </row>
    <row r="48" spans="1:10" ht="16" thickBot="1">
      <c r="A48" t="s">
        <v>1527</v>
      </c>
      <c r="C48">
        <v>23</v>
      </c>
      <c r="E48" s="29" t="s">
        <v>1528</v>
      </c>
      <c r="F48" s="35">
        <f t="shared" si="2"/>
        <v>7.4999999999999997E-2</v>
      </c>
      <c r="H48" s="31" t="s">
        <v>1798</v>
      </c>
      <c r="I48" s="62">
        <v>2</v>
      </c>
      <c r="J48" s="36">
        <f>I48/I$46</f>
        <v>1</v>
      </c>
    </row>
    <row r="49" spans="1:10">
      <c r="A49" t="s">
        <v>1528</v>
      </c>
      <c r="C49">
        <v>3</v>
      </c>
      <c r="E49" s="29" t="s">
        <v>1529</v>
      </c>
      <c r="F49" s="35">
        <f t="shared" si="2"/>
        <v>7.4999999999999997E-2</v>
      </c>
    </row>
    <row r="50" spans="1:10" ht="16" thickBot="1">
      <c r="A50" t="s">
        <v>1529</v>
      </c>
      <c r="C50">
        <v>3</v>
      </c>
      <c r="E50" s="29" t="s">
        <v>1530</v>
      </c>
      <c r="F50" s="35">
        <f t="shared" si="2"/>
        <v>0.05</v>
      </c>
    </row>
    <row r="51" spans="1:10">
      <c r="A51" t="s">
        <v>1530</v>
      </c>
      <c r="C51">
        <v>2</v>
      </c>
      <c r="E51" s="29" t="s">
        <v>1531</v>
      </c>
      <c r="F51" s="35">
        <f t="shared" si="2"/>
        <v>0</v>
      </c>
      <c r="H51" s="27" t="s">
        <v>1805</v>
      </c>
      <c r="I51" s="61">
        <v>4</v>
      </c>
      <c r="J51" s="47"/>
    </row>
    <row r="52" spans="1:10">
      <c r="A52" t="s">
        <v>1531</v>
      </c>
      <c r="C52">
        <v>0</v>
      </c>
      <c r="E52" s="29" t="s">
        <v>1532</v>
      </c>
      <c r="F52" s="35">
        <f t="shared" si="2"/>
        <v>0</v>
      </c>
      <c r="H52" s="29" t="s">
        <v>1799</v>
      </c>
      <c r="I52">
        <v>2</v>
      </c>
      <c r="J52" s="35">
        <f t="shared" ref="J52:J57" si="3">I52/I$51</f>
        <v>0.5</v>
      </c>
    </row>
    <row r="53" spans="1:10">
      <c r="A53" t="s">
        <v>1532</v>
      </c>
      <c r="C53">
        <v>0</v>
      </c>
      <c r="E53" s="29" t="s">
        <v>1533</v>
      </c>
      <c r="F53" s="35">
        <f t="shared" si="2"/>
        <v>0</v>
      </c>
      <c r="H53" s="29" t="s">
        <v>1800</v>
      </c>
      <c r="I53">
        <v>1</v>
      </c>
      <c r="J53" s="35">
        <f t="shared" si="3"/>
        <v>0.25</v>
      </c>
    </row>
    <row r="54" spans="1:10">
      <c r="A54" t="s">
        <v>1533</v>
      </c>
      <c r="C54">
        <v>0</v>
      </c>
      <c r="E54" s="29" t="s">
        <v>1534</v>
      </c>
      <c r="F54" s="35">
        <f t="shared" si="2"/>
        <v>0</v>
      </c>
      <c r="H54" s="29" t="s">
        <v>1801</v>
      </c>
      <c r="I54">
        <v>0</v>
      </c>
      <c r="J54" s="35">
        <f t="shared" si="3"/>
        <v>0</v>
      </c>
    </row>
    <row r="55" spans="1:10" ht="16" thickBot="1">
      <c r="A55" t="s">
        <v>1534</v>
      </c>
      <c r="C55">
        <v>0</v>
      </c>
      <c r="E55" s="31" t="s">
        <v>1521</v>
      </c>
      <c r="F55" s="36">
        <f t="shared" si="2"/>
        <v>7.4999999999999997E-2</v>
      </c>
      <c r="H55" s="29" t="s">
        <v>1802</v>
      </c>
      <c r="I55">
        <v>0</v>
      </c>
      <c r="J55" s="35">
        <f t="shared" si="3"/>
        <v>0</v>
      </c>
    </row>
    <row r="56" spans="1:10" ht="16" thickBot="1">
      <c r="A56" t="s">
        <v>1521</v>
      </c>
      <c r="C56">
        <v>3</v>
      </c>
      <c r="H56" s="29" t="s">
        <v>1803</v>
      </c>
      <c r="I56">
        <v>0</v>
      </c>
      <c r="J56" s="35">
        <f t="shared" si="3"/>
        <v>0</v>
      </c>
    </row>
    <row r="57" spans="1:10" ht="16" thickBot="1">
      <c r="A57" t="s">
        <v>1536</v>
      </c>
      <c r="C57">
        <f>SUM(C47:C56)</f>
        <v>40</v>
      </c>
      <c r="E57" s="37" t="s">
        <v>1550</v>
      </c>
      <c r="F57" s="38"/>
      <c r="H57" s="31" t="s">
        <v>1804</v>
      </c>
      <c r="I57" s="62">
        <v>1</v>
      </c>
      <c r="J57" s="36">
        <f t="shared" si="3"/>
        <v>0.25</v>
      </c>
    </row>
    <row r="58" spans="1:10" ht="16" thickBot="1">
      <c r="E58" s="39" t="s">
        <v>1542</v>
      </c>
      <c r="F58" s="43">
        <f>C59/C$29</f>
        <v>0.8</v>
      </c>
      <c r="G58" t="s">
        <v>1486</v>
      </c>
    </row>
    <row r="59" spans="1:10">
      <c r="A59" t="s">
        <v>1537</v>
      </c>
      <c r="C59">
        <v>16</v>
      </c>
      <c r="E59" s="39" t="s">
        <v>1543</v>
      </c>
      <c r="F59" s="43">
        <f>C60/C$29</f>
        <v>0.05</v>
      </c>
      <c r="H59" s="27" t="s">
        <v>1806</v>
      </c>
      <c r="I59" s="61">
        <v>0</v>
      </c>
      <c r="J59" s="47"/>
    </row>
    <row r="60" spans="1:10" ht="16" thickBot="1">
      <c r="A60" t="s">
        <v>1538</v>
      </c>
      <c r="C60">
        <v>1</v>
      </c>
      <c r="E60" s="40" t="s">
        <v>1544</v>
      </c>
      <c r="F60" s="44">
        <f>C61/C$29</f>
        <v>0.15</v>
      </c>
      <c r="H60" s="29" t="s">
        <v>1799</v>
      </c>
      <c r="I60">
        <v>0</v>
      </c>
      <c r="J60" s="35" t="e">
        <f t="shared" ref="J60:J65" si="4">I60/I$59</f>
        <v>#DIV/0!</v>
      </c>
    </row>
    <row r="61" spans="1:10" ht="16" thickBot="1">
      <c r="A61" t="s">
        <v>1539</v>
      </c>
      <c r="C61">
        <v>3</v>
      </c>
      <c r="H61" s="29" t="s">
        <v>1800</v>
      </c>
      <c r="I61">
        <v>0</v>
      </c>
      <c r="J61" s="35" t="e">
        <f t="shared" si="4"/>
        <v>#DIV/0!</v>
      </c>
    </row>
    <row r="62" spans="1:10">
      <c r="E62" s="37" t="s">
        <v>1547</v>
      </c>
      <c r="F62" s="28"/>
      <c r="H62" s="29" t="s">
        <v>1801</v>
      </c>
      <c r="I62">
        <v>0</v>
      </c>
      <c r="J62" s="35" t="e">
        <f t="shared" si="4"/>
        <v>#DIV/0!</v>
      </c>
    </row>
    <row r="63" spans="1:10">
      <c r="A63" t="s">
        <v>1547</v>
      </c>
      <c r="E63" s="39" t="s">
        <v>1596</v>
      </c>
      <c r="F63" s="35">
        <f>C64/C$29</f>
        <v>0.85</v>
      </c>
      <c r="G63" t="s">
        <v>1486</v>
      </c>
      <c r="H63" s="29" t="s">
        <v>1802</v>
      </c>
      <c r="I63">
        <v>0</v>
      </c>
      <c r="J63" s="35" t="e">
        <f t="shared" si="4"/>
        <v>#DIV/0!</v>
      </c>
    </row>
    <row r="64" spans="1:10" ht="16" thickBot="1">
      <c r="A64" t="s">
        <v>1568</v>
      </c>
      <c r="C64">
        <v>17</v>
      </c>
      <c r="E64" s="40" t="s">
        <v>1457</v>
      </c>
      <c r="F64" s="36">
        <f>C65/C$29</f>
        <v>0.15</v>
      </c>
      <c r="H64" s="29" t="s">
        <v>1803</v>
      </c>
      <c r="I64">
        <v>0</v>
      </c>
      <c r="J64" s="35" t="e">
        <f t="shared" si="4"/>
        <v>#DIV/0!</v>
      </c>
    </row>
    <row r="65" spans="1:10" ht="16" thickBot="1">
      <c r="A65" t="s">
        <v>1457</v>
      </c>
      <c r="C65">
        <v>3</v>
      </c>
      <c r="E65" s="41"/>
      <c r="F65" s="48"/>
      <c r="H65" s="31" t="s">
        <v>1804</v>
      </c>
      <c r="I65" s="62">
        <v>0</v>
      </c>
      <c r="J65" s="36" t="e">
        <f t="shared" si="4"/>
        <v>#DIV/0!</v>
      </c>
    </row>
    <row r="66" spans="1:10">
      <c r="E66" s="27" t="s">
        <v>2429</v>
      </c>
      <c r="F66" s="47"/>
    </row>
    <row r="67" spans="1:10" ht="16" thickBot="1">
      <c r="A67" t="s">
        <v>2429</v>
      </c>
      <c r="E67" s="29" t="s">
        <v>2430</v>
      </c>
      <c r="F67" s="35">
        <f>C68/C$65</f>
        <v>1</v>
      </c>
    </row>
    <row r="68" spans="1:10" ht="16" thickBot="1">
      <c r="A68" t="s">
        <v>2430</v>
      </c>
      <c r="C68">
        <v>3</v>
      </c>
      <c r="E68" s="31" t="s">
        <v>2431</v>
      </c>
      <c r="F68" s="36">
        <f>C69/C$65</f>
        <v>0</v>
      </c>
      <c r="H68" s="27" t="s">
        <v>1520</v>
      </c>
      <c r="I68" s="61">
        <v>9</v>
      </c>
      <c r="J68" s="47"/>
    </row>
    <row r="69" spans="1:10" ht="16" thickBot="1">
      <c r="A69" t="s">
        <v>2431</v>
      </c>
      <c r="C69">
        <v>0</v>
      </c>
      <c r="G69" t="s">
        <v>1486</v>
      </c>
      <c r="H69" s="29" t="s">
        <v>1808</v>
      </c>
      <c r="I69">
        <v>4</v>
      </c>
      <c r="J69" s="35">
        <f>I69/I$68</f>
        <v>0.44444444444444442</v>
      </c>
    </row>
    <row r="70" spans="1:10">
      <c r="C70" t="s">
        <v>1486</v>
      </c>
      <c r="E70" s="37" t="s">
        <v>1597</v>
      </c>
      <c r="F70" s="28"/>
      <c r="H70" s="29" t="s">
        <v>1809</v>
      </c>
      <c r="I70">
        <v>3</v>
      </c>
      <c r="J70" s="35">
        <f>I70/I$68</f>
        <v>0.33333333333333331</v>
      </c>
    </row>
    <row r="71" spans="1:10">
      <c r="A71" t="s">
        <v>1598</v>
      </c>
      <c r="E71" s="29" t="s">
        <v>1569</v>
      </c>
      <c r="F71" s="35">
        <f t="shared" ref="F71:F76" si="5">C72/C$29</f>
        <v>0.75</v>
      </c>
      <c r="H71" s="29" t="s">
        <v>1810</v>
      </c>
      <c r="I71">
        <v>1</v>
      </c>
      <c r="J71" s="35">
        <f>I71/I$68</f>
        <v>0.1111111111111111</v>
      </c>
    </row>
    <row r="72" spans="1:10" ht="16" thickBot="1">
      <c r="A72" t="s">
        <v>1569</v>
      </c>
      <c r="C72">
        <v>15</v>
      </c>
      <c r="E72" s="29" t="s">
        <v>1571</v>
      </c>
      <c r="F72" s="35">
        <f t="shared" si="5"/>
        <v>0.05</v>
      </c>
      <c r="H72" s="31" t="s">
        <v>1811</v>
      </c>
      <c r="I72" s="62">
        <v>1</v>
      </c>
      <c r="J72" s="36">
        <f>I72/I$68</f>
        <v>0.1111111111111111</v>
      </c>
    </row>
    <row r="73" spans="1:10">
      <c r="A73" t="s">
        <v>1571</v>
      </c>
      <c r="C73">
        <v>1</v>
      </c>
      <c r="E73" s="29" t="s">
        <v>1572</v>
      </c>
      <c r="F73" s="35">
        <f t="shared" si="5"/>
        <v>0</v>
      </c>
    </row>
    <row r="74" spans="1:10" ht="16" thickBot="1">
      <c r="A74" t="s">
        <v>1572</v>
      </c>
      <c r="C74">
        <v>0</v>
      </c>
      <c r="E74" s="29" t="s">
        <v>1573</v>
      </c>
      <c r="F74" s="35">
        <f t="shared" si="5"/>
        <v>0</v>
      </c>
    </row>
    <row r="75" spans="1:10">
      <c r="A75" t="s">
        <v>1573</v>
      </c>
      <c r="C75">
        <v>0</v>
      </c>
      <c r="E75" s="29" t="s">
        <v>1570</v>
      </c>
      <c r="F75" s="35">
        <f t="shared" si="5"/>
        <v>0.15</v>
      </c>
      <c r="G75" t="s">
        <v>1486</v>
      </c>
      <c r="H75" s="27" t="s">
        <v>1574</v>
      </c>
      <c r="I75" s="61">
        <v>7</v>
      </c>
      <c r="J75" s="47"/>
    </row>
    <row r="76" spans="1:10" ht="16" thickBot="1">
      <c r="A76" t="s">
        <v>1570</v>
      </c>
      <c r="C76">
        <v>3</v>
      </c>
      <c r="E76" s="31" t="s">
        <v>1574</v>
      </c>
      <c r="F76" s="36">
        <f t="shared" si="5"/>
        <v>0.05</v>
      </c>
      <c r="H76" s="29" t="s">
        <v>1820</v>
      </c>
      <c r="I76">
        <v>1</v>
      </c>
      <c r="J76" s="35">
        <f t="shared" ref="J76:J81" si="6">I76/I$75</f>
        <v>0.14285714285714285</v>
      </c>
    </row>
    <row r="77" spans="1:10" ht="16" thickBot="1">
      <c r="A77" t="s">
        <v>1574</v>
      </c>
      <c r="C77">
        <v>1</v>
      </c>
      <c r="G77" t="s">
        <v>1486</v>
      </c>
      <c r="H77" s="29" t="s">
        <v>1812</v>
      </c>
      <c r="I77">
        <v>4</v>
      </c>
      <c r="J77" s="35">
        <f t="shared" si="6"/>
        <v>0.5714285714285714</v>
      </c>
    </row>
    <row r="78" spans="1:10">
      <c r="E78" s="27" t="s">
        <v>1551</v>
      </c>
      <c r="F78" s="28"/>
      <c r="H78" s="29" t="s">
        <v>1813</v>
      </c>
      <c r="I78">
        <v>1</v>
      </c>
      <c r="J78" s="35">
        <f t="shared" si="6"/>
        <v>0.14285714285714285</v>
      </c>
    </row>
    <row r="79" spans="1:10">
      <c r="A79" t="s">
        <v>1540</v>
      </c>
      <c r="C79">
        <v>3</v>
      </c>
      <c r="E79" s="29" t="s">
        <v>1506</v>
      </c>
      <c r="F79" s="35">
        <f t="shared" ref="F79:F84" si="7">C80/C$29</f>
        <v>0.65</v>
      </c>
      <c r="H79" s="29" t="s">
        <v>1814</v>
      </c>
      <c r="I79">
        <v>0</v>
      </c>
      <c r="J79" s="35">
        <f t="shared" si="6"/>
        <v>0</v>
      </c>
    </row>
    <row r="80" spans="1:10">
      <c r="A80" t="s">
        <v>1506</v>
      </c>
      <c r="C80">
        <v>13</v>
      </c>
      <c r="E80" s="29" t="s">
        <v>1503</v>
      </c>
      <c r="F80" s="35">
        <f t="shared" si="7"/>
        <v>0.25</v>
      </c>
      <c r="H80" s="29" t="s">
        <v>1716</v>
      </c>
      <c r="I80">
        <v>1</v>
      </c>
      <c r="J80" s="35">
        <f t="shared" si="6"/>
        <v>0.14285714285714285</v>
      </c>
    </row>
    <row r="81" spans="1:10" ht="16" thickBot="1">
      <c r="A81" t="s">
        <v>1503</v>
      </c>
      <c r="C81">
        <v>5</v>
      </c>
      <c r="E81" s="29" t="s">
        <v>1502</v>
      </c>
      <c r="F81" s="35">
        <f t="shared" si="7"/>
        <v>0</v>
      </c>
      <c r="H81" s="31" t="s">
        <v>1815</v>
      </c>
      <c r="I81" s="62">
        <v>0</v>
      </c>
      <c r="J81" s="36">
        <f t="shared" si="6"/>
        <v>0</v>
      </c>
    </row>
    <row r="82" spans="1:10">
      <c r="A82" t="s">
        <v>1502</v>
      </c>
      <c r="C82">
        <v>0</v>
      </c>
      <c r="E82" s="29" t="s">
        <v>1507</v>
      </c>
      <c r="F82" s="35">
        <f t="shared" si="7"/>
        <v>0</v>
      </c>
    </row>
    <row r="83" spans="1:10">
      <c r="A83" t="s">
        <v>1507</v>
      </c>
      <c r="C83">
        <v>0</v>
      </c>
      <c r="E83" s="29" t="s">
        <v>1505</v>
      </c>
      <c r="F83" s="35">
        <f t="shared" si="7"/>
        <v>0</v>
      </c>
      <c r="J83" s="45" t="s">
        <v>1486</v>
      </c>
    </row>
    <row r="84" spans="1:10" ht="16" thickBot="1">
      <c r="A84" t="s">
        <v>1505</v>
      </c>
      <c r="C84">
        <v>0</v>
      </c>
      <c r="E84" s="31" t="s">
        <v>1504</v>
      </c>
      <c r="F84" s="36">
        <f t="shared" si="7"/>
        <v>0.1</v>
      </c>
    </row>
    <row r="85" spans="1:10">
      <c r="A85" t="s">
        <v>1504</v>
      </c>
      <c r="C85">
        <v>2</v>
      </c>
    </row>
  </sheetData>
  <mergeCells count="1">
    <mergeCell ref="A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8"/>
  <sheetViews>
    <sheetView topLeftCell="A53" workbookViewId="0">
      <selection activeCell="F60" sqref="F60:F61"/>
    </sheetView>
  </sheetViews>
  <sheetFormatPr baseColWidth="10" defaultRowHeight="15"/>
  <cols>
    <col min="2" max="2" width="33" customWidth="1"/>
    <col min="7" max="7" width="38.5" customWidth="1"/>
    <col min="8" max="8" width="55.1640625" customWidth="1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44256</v>
      </c>
      <c r="B2" t="s">
        <v>161</v>
      </c>
      <c r="C2" t="s">
        <v>1506</v>
      </c>
      <c r="D2" t="s">
        <v>1509</v>
      </c>
      <c r="E2" t="s">
        <v>18</v>
      </c>
      <c r="F2" s="8">
        <v>2022.3</v>
      </c>
      <c r="G2" t="s">
        <v>1827</v>
      </c>
      <c r="H2" t="s">
        <v>165</v>
      </c>
    </row>
    <row r="3" spans="1:8">
      <c r="A3" s="6">
        <v>44257</v>
      </c>
      <c r="B3" t="s">
        <v>167</v>
      </c>
      <c r="C3" t="s">
        <v>1503</v>
      </c>
      <c r="D3" t="s">
        <v>1509</v>
      </c>
      <c r="E3" t="s">
        <v>18</v>
      </c>
      <c r="F3" s="8">
        <v>850</v>
      </c>
      <c r="G3" t="s">
        <v>170</v>
      </c>
      <c r="H3" t="s">
        <v>140</v>
      </c>
    </row>
    <row r="4" spans="1:8">
      <c r="A4" s="6">
        <v>44258</v>
      </c>
      <c r="B4" t="s">
        <v>172</v>
      </c>
      <c r="C4" t="s">
        <v>1506</v>
      </c>
      <c r="D4" t="s">
        <v>1509</v>
      </c>
      <c r="E4" t="s">
        <v>18</v>
      </c>
      <c r="F4" s="8">
        <v>1287</v>
      </c>
      <c r="G4" t="s">
        <v>175</v>
      </c>
      <c r="H4" t="s">
        <v>20</v>
      </c>
    </row>
    <row r="5" spans="1:8">
      <c r="A5" s="6">
        <v>44264</v>
      </c>
      <c r="B5" t="s">
        <v>179</v>
      </c>
      <c r="C5" t="s">
        <v>1506</v>
      </c>
      <c r="D5" t="s">
        <v>1509</v>
      </c>
      <c r="E5" t="s">
        <v>18</v>
      </c>
      <c r="F5" s="8">
        <v>720</v>
      </c>
      <c r="G5" t="s">
        <v>182</v>
      </c>
      <c r="H5" t="s">
        <v>183</v>
      </c>
    </row>
    <row r="6" spans="1:8">
      <c r="A6" s="6">
        <v>44265</v>
      </c>
      <c r="B6" t="s">
        <v>49</v>
      </c>
      <c r="C6" t="s">
        <v>1506</v>
      </c>
      <c r="D6" t="s">
        <v>1509</v>
      </c>
      <c r="E6" t="s">
        <v>1461</v>
      </c>
      <c r="F6" s="8">
        <v>750</v>
      </c>
      <c r="G6" t="s">
        <v>1464</v>
      </c>
      <c r="H6" t="s">
        <v>1457</v>
      </c>
    </row>
    <row r="7" spans="1:8">
      <c r="A7" s="6">
        <v>44267</v>
      </c>
      <c r="B7" t="s">
        <v>185</v>
      </c>
      <c r="C7" t="s">
        <v>1506</v>
      </c>
      <c r="D7" t="s">
        <v>1510</v>
      </c>
      <c r="E7" t="s">
        <v>18</v>
      </c>
      <c r="F7" s="8">
        <v>3980.77</v>
      </c>
      <c r="G7" t="s">
        <v>1599</v>
      </c>
      <c r="H7" t="s">
        <v>189</v>
      </c>
    </row>
    <row r="8" spans="1:8">
      <c r="A8" s="6">
        <v>44273</v>
      </c>
      <c r="B8" t="s">
        <v>190</v>
      </c>
      <c r="C8" t="s">
        <v>1506</v>
      </c>
      <c r="D8" t="s">
        <v>1509</v>
      </c>
      <c r="E8" t="s">
        <v>63</v>
      </c>
      <c r="F8" s="8">
        <v>2339</v>
      </c>
      <c r="G8" t="s">
        <v>1835</v>
      </c>
      <c r="H8" t="s">
        <v>193</v>
      </c>
    </row>
    <row r="9" spans="1:8">
      <c r="A9" s="6">
        <v>44274</v>
      </c>
      <c r="B9" t="s">
        <v>195</v>
      </c>
      <c r="C9" t="s">
        <v>1506</v>
      </c>
      <c r="D9" t="s">
        <v>1509</v>
      </c>
      <c r="E9" t="s">
        <v>18</v>
      </c>
      <c r="F9" s="8">
        <v>1500</v>
      </c>
      <c r="G9" t="s">
        <v>198</v>
      </c>
      <c r="H9" t="s">
        <v>199</v>
      </c>
    </row>
    <row r="10" spans="1:8">
      <c r="A10" s="6">
        <v>44275</v>
      </c>
      <c r="B10" t="s">
        <v>201</v>
      </c>
      <c r="C10" t="s">
        <v>1506</v>
      </c>
      <c r="D10" t="s">
        <v>1509</v>
      </c>
      <c r="E10" t="s">
        <v>63</v>
      </c>
      <c r="F10" s="8">
        <v>2669</v>
      </c>
      <c r="G10" t="s">
        <v>203</v>
      </c>
      <c r="H10" t="s">
        <v>204</v>
      </c>
    </row>
    <row r="11" spans="1:8">
      <c r="A11" s="6">
        <v>44277</v>
      </c>
      <c r="B11" t="s">
        <v>214</v>
      </c>
      <c r="C11" t="s">
        <v>1506</v>
      </c>
      <c r="D11" t="s">
        <v>1509</v>
      </c>
      <c r="E11" t="s">
        <v>18</v>
      </c>
      <c r="F11" s="8">
        <v>990</v>
      </c>
      <c r="G11" t="s">
        <v>175</v>
      </c>
      <c r="H11" t="s">
        <v>218</v>
      </c>
    </row>
    <row r="12" spans="1:8">
      <c r="A12" s="6">
        <v>44278</v>
      </c>
      <c r="B12" t="s">
        <v>205</v>
      </c>
      <c r="C12" t="s">
        <v>1503</v>
      </c>
      <c r="D12" t="s">
        <v>1509</v>
      </c>
      <c r="E12" t="s">
        <v>18</v>
      </c>
      <c r="F12" s="8">
        <v>715</v>
      </c>
      <c r="G12" t="s">
        <v>1477</v>
      </c>
      <c r="H12" t="s">
        <v>217</v>
      </c>
    </row>
    <row r="13" spans="1:8">
      <c r="A13" s="6">
        <v>44281</v>
      </c>
      <c r="B13" t="s">
        <v>614</v>
      </c>
      <c r="C13" t="s">
        <v>1502</v>
      </c>
      <c r="D13" t="s">
        <v>1509</v>
      </c>
      <c r="E13" t="s">
        <v>18</v>
      </c>
      <c r="F13" s="8">
        <v>1238</v>
      </c>
      <c r="G13" t="s">
        <v>1836</v>
      </c>
      <c r="H13" t="s">
        <v>281</v>
      </c>
    </row>
    <row r="14" spans="1:8">
      <c r="A14" s="6">
        <v>44282</v>
      </c>
      <c r="B14" t="s">
        <v>209</v>
      </c>
      <c r="C14" t="s">
        <v>1506</v>
      </c>
      <c r="D14" t="s">
        <v>1509</v>
      </c>
      <c r="E14" t="s">
        <v>18</v>
      </c>
      <c r="F14" s="8">
        <v>592</v>
      </c>
      <c r="G14" t="s">
        <v>212</v>
      </c>
      <c r="H14" t="s">
        <v>249</v>
      </c>
    </row>
    <row r="15" spans="1:8">
      <c r="A15" s="6">
        <v>44284</v>
      </c>
      <c r="B15" t="s">
        <v>220</v>
      </c>
      <c r="C15" t="s">
        <v>1506</v>
      </c>
      <c r="D15" t="s">
        <v>1509</v>
      </c>
      <c r="E15" t="s">
        <v>18</v>
      </c>
      <c r="F15" s="8">
        <v>1071.5</v>
      </c>
      <c r="G15" t="s">
        <v>1834</v>
      </c>
      <c r="H15" t="s">
        <v>259</v>
      </c>
    </row>
    <row r="16" spans="1:8">
      <c r="B16" t="s">
        <v>2421</v>
      </c>
      <c r="C16" t="s">
        <v>1506</v>
      </c>
      <c r="D16" t="s">
        <v>1509</v>
      </c>
      <c r="E16" t="s">
        <v>18</v>
      </c>
      <c r="F16" s="8">
        <v>600</v>
      </c>
      <c r="G16" t="s">
        <v>2422</v>
      </c>
      <c r="H16" t="s">
        <v>2423</v>
      </c>
    </row>
    <row r="18" spans="1:10" ht="16" thickBot="1">
      <c r="A18" s="106" t="s">
        <v>1541</v>
      </c>
      <c r="B18" s="106"/>
      <c r="C18" s="106"/>
      <c r="D18" s="106"/>
      <c r="E18" s="106"/>
      <c r="F18" s="106"/>
    </row>
    <row r="19" spans="1:10">
      <c r="A19" t="s">
        <v>1513</v>
      </c>
      <c r="C19" s="8">
        <f>SUM(F2:F16)</f>
        <v>21324.57</v>
      </c>
      <c r="E19" s="27" t="s">
        <v>1546</v>
      </c>
      <c r="F19" s="28"/>
      <c r="H19" s="27" t="s">
        <v>1515</v>
      </c>
      <c r="I19" s="61">
        <v>4</v>
      </c>
      <c r="J19" s="28"/>
    </row>
    <row r="20" spans="1:10">
      <c r="E20" s="29" t="s">
        <v>1552</v>
      </c>
      <c r="F20" s="50">
        <v>21324.57</v>
      </c>
      <c r="H20" s="29" t="s">
        <v>1768</v>
      </c>
      <c r="I20">
        <v>1</v>
      </c>
      <c r="J20" s="35">
        <f>I20/I$19</f>
        <v>0.25</v>
      </c>
    </row>
    <row r="21" spans="1:10" ht="16" thickBot="1">
      <c r="A21" t="s">
        <v>1545</v>
      </c>
      <c r="C21">
        <v>26</v>
      </c>
      <c r="E21" s="31" t="s">
        <v>1553</v>
      </c>
      <c r="F21" s="42">
        <f>C19/C21</f>
        <v>820.17576923076922</v>
      </c>
      <c r="H21" s="29" t="s">
        <v>1769</v>
      </c>
      <c r="I21">
        <v>3</v>
      </c>
      <c r="J21" s="35">
        <f>I21/I$19</f>
        <v>0.75</v>
      </c>
    </row>
    <row r="22" spans="1:10" ht="16" thickBot="1">
      <c r="A22" t="s">
        <v>1759</v>
      </c>
      <c r="C22">
        <v>14</v>
      </c>
      <c r="H22" s="31" t="s">
        <v>1770</v>
      </c>
      <c r="I22" s="62">
        <v>0</v>
      </c>
      <c r="J22" s="36">
        <f>I22/I$19</f>
        <v>0</v>
      </c>
    </row>
    <row r="23" spans="1:10">
      <c r="D23" t="s">
        <v>1486</v>
      </c>
      <c r="E23" s="27" t="s">
        <v>1547</v>
      </c>
      <c r="F23" s="28"/>
    </row>
    <row r="24" spans="1:10" ht="16" thickBot="1">
      <c r="A24" t="s">
        <v>1511</v>
      </c>
      <c r="C24">
        <v>13</v>
      </c>
      <c r="D24" t="s">
        <v>1486</v>
      </c>
      <c r="E24" s="29" t="s">
        <v>1509</v>
      </c>
      <c r="F24" s="35">
        <f>C24/C$22</f>
        <v>0.9285714285714286</v>
      </c>
      <c r="G24" t="s">
        <v>1486</v>
      </c>
    </row>
    <row r="25" spans="1:10" ht="16" thickBot="1">
      <c r="A25" t="s">
        <v>1512</v>
      </c>
      <c r="C25">
        <v>1</v>
      </c>
      <c r="E25" s="31" t="s">
        <v>1510</v>
      </c>
      <c r="F25" s="36">
        <f>C25/C$22</f>
        <v>7.1428571428571425E-2</v>
      </c>
      <c r="H25" s="27" t="s">
        <v>1807</v>
      </c>
      <c r="I25" s="61">
        <v>4</v>
      </c>
      <c r="J25" s="28"/>
    </row>
    <row r="26" spans="1:10" ht="16" thickBot="1">
      <c r="H26" s="29" t="s">
        <v>1771</v>
      </c>
      <c r="I26">
        <v>1</v>
      </c>
      <c r="J26" s="35">
        <f>I26/I$25</f>
        <v>0.25</v>
      </c>
    </row>
    <row r="27" spans="1:10">
      <c r="A27" t="s">
        <v>1524</v>
      </c>
      <c r="E27" s="27" t="s">
        <v>1548</v>
      </c>
      <c r="F27" s="28"/>
      <c r="H27" s="29" t="s">
        <v>1772</v>
      </c>
      <c r="I27">
        <v>1</v>
      </c>
      <c r="J27" s="35">
        <f>I27/I$25</f>
        <v>0.25</v>
      </c>
    </row>
    <row r="28" spans="1:10" ht="16" thickBot="1">
      <c r="A28" t="s">
        <v>1514</v>
      </c>
      <c r="C28">
        <v>2</v>
      </c>
      <c r="E28" s="29" t="s">
        <v>1514</v>
      </c>
      <c r="F28" s="35">
        <f t="shared" ref="F28:F36" si="0">C28/C$37</f>
        <v>9.0909090909090912E-2</v>
      </c>
      <c r="H28" s="31" t="s">
        <v>1773</v>
      </c>
      <c r="I28" s="62">
        <v>2</v>
      </c>
      <c r="J28" s="36">
        <f>I28/I$25</f>
        <v>0.5</v>
      </c>
    </row>
    <row r="29" spans="1:10" ht="16" thickBot="1">
      <c r="A29" t="s">
        <v>1515</v>
      </c>
      <c r="C29">
        <v>4</v>
      </c>
      <c r="E29" s="29" t="s">
        <v>1515</v>
      </c>
      <c r="F29" s="35">
        <f t="shared" si="0"/>
        <v>0.18181818181818182</v>
      </c>
      <c r="G29" t="s">
        <v>1486</v>
      </c>
      <c r="J29" s="45"/>
    </row>
    <row r="30" spans="1:10">
      <c r="A30" t="s">
        <v>1516</v>
      </c>
      <c r="C30">
        <v>4</v>
      </c>
      <c r="E30" s="29" t="s">
        <v>1516</v>
      </c>
      <c r="F30" s="35">
        <f t="shared" si="0"/>
        <v>0.18181818181818182</v>
      </c>
      <c r="H30" s="27" t="s">
        <v>1818</v>
      </c>
      <c r="I30" s="61">
        <v>0</v>
      </c>
      <c r="J30" s="47">
        <f t="shared" ref="J30:J35" si="1">I30/I$25</f>
        <v>0</v>
      </c>
    </row>
    <row r="31" spans="1:10">
      <c r="A31" t="s">
        <v>1517</v>
      </c>
      <c r="C31">
        <v>1</v>
      </c>
      <c r="E31" s="29" t="s">
        <v>1517</v>
      </c>
      <c r="F31" s="35">
        <f t="shared" si="0"/>
        <v>4.5454545454545456E-2</v>
      </c>
      <c r="H31" s="29" t="s">
        <v>1819</v>
      </c>
      <c r="I31">
        <v>0</v>
      </c>
      <c r="J31" s="35">
        <f t="shared" si="1"/>
        <v>0</v>
      </c>
    </row>
    <row r="32" spans="1:10">
      <c r="A32" t="s">
        <v>1518</v>
      </c>
      <c r="C32">
        <v>3</v>
      </c>
      <c r="E32" s="29" t="s">
        <v>1518</v>
      </c>
      <c r="F32" s="35">
        <f t="shared" si="0"/>
        <v>0.13636363636363635</v>
      </c>
      <c r="H32" s="29" t="s">
        <v>1774</v>
      </c>
      <c r="I32">
        <v>0</v>
      </c>
      <c r="J32" s="35">
        <f t="shared" si="1"/>
        <v>0</v>
      </c>
    </row>
    <row r="33" spans="1:10">
      <c r="A33" t="s">
        <v>1519</v>
      </c>
      <c r="C33">
        <v>1</v>
      </c>
      <c r="E33" s="29" t="s">
        <v>1519</v>
      </c>
      <c r="F33" s="35">
        <f t="shared" si="0"/>
        <v>4.5454545454545456E-2</v>
      </c>
      <c r="H33" s="29" t="s">
        <v>1775</v>
      </c>
      <c r="I33">
        <v>2</v>
      </c>
      <c r="J33" s="35">
        <f t="shared" si="1"/>
        <v>0.5</v>
      </c>
    </row>
    <row r="34" spans="1:10">
      <c r="A34" t="s">
        <v>1520</v>
      </c>
      <c r="C34">
        <v>2</v>
      </c>
      <c r="E34" s="29" t="s">
        <v>1520</v>
      </c>
      <c r="F34" s="35">
        <f t="shared" si="0"/>
        <v>9.0909090909090912E-2</v>
      </c>
      <c r="H34" s="29" t="s">
        <v>1776</v>
      </c>
      <c r="I34">
        <v>1</v>
      </c>
      <c r="J34" s="35">
        <f t="shared" si="1"/>
        <v>0.25</v>
      </c>
    </row>
    <row r="35" spans="1:10" ht="16" thickBot="1">
      <c r="A35" t="s">
        <v>1522</v>
      </c>
      <c r="C35">
        <v>3</v>
      </c>
      <c r="E35" s="29" t="s">
        <v>1522</v>
      </c>
      <c r="F35" s="35">
        <f t="shared" si="0"/>
        <v>0.13636363636363635</v>
      </c>
      <c r="H35" s="31" t="s">
        <v>1777</v>
      </c>
      <c r="I35" s="62">
        <v>1</v>
      </c>
      <c r="J35" s="36">
        <f t="shared" si="1"/>
        <v>0.25</v>
      </c>
    </row>
    <row r="36" spans="1:10" ht="16" thickBot="1">
      <c r="A36" t="s">
        <v>1574</v>
      </c>
      <c r="C36">
        <v>2</v>
      </c>
      <c r="E36" s="31" t="s">
        <v>1574</v>
      </c>
      <c r="F36" s="36">
        <f t="shared" si="0"/>
        <v>9.0909090909090912E-2</v>
      </c>
    </row>
    <row r="37" spans="1:10" ht="16" thickBot="1">
      <c r="A37" t="s">
        <v>1523</v>
      </c>
      <c r="C37">
        <f>SUM(C28:C36)</f>
        <v>22</v>
      </c>
    </row>
    <row r="38" spans="1:10">
      <c r="E38" s="27" t="s">
        <v>1549</v>
      </c>
      <c r="F38" s="28"/>
      <c r="H38" s="27" t="s">
        <v>1518</v>
      </c>
      <c r="I38" s="61">
        <v>2</v>
      </c>
      <c r="J38" s="28"/>
    </row>
    <row r="39" spans="1:10">
      <c r="A39" t="s">
        <v>1525</v>
      </c>
      <c r="E39" s="29" t="s">
        <v>1526</v>
      </c>
      <c r="F39" s="35">
        <f>C40/C$50</f>
        <v>0.39130434782608697</v>
      </c>
      <c r="H39" s="29" t="s">
        <v>1797</v>
      </c>
      <c r="I39">
        <v>1</v>
      </c>
      <c r="J39" s="35">
        <f>I39/I$38</f>
        <v>0.5</v>
      </c>
    </row>
    <row r="40" spans="1:10" ht="16" thickBot="1">
      <c r="A40" t="s">
        <v>1526</v>
      </c>
      <c r="C40">
        <v>9</v>
      </c>
      <c r="E40" s="29" t="s">
        <v>1527</v>
      </c>
      <c r="F40" s="35">
        <f t="shared" ref="F40:F48" si="2">C41/C$50</f>
        <v>0.13043478260869565</v>
      </c>
      <c r="H40" s="31" t="s">
        <v>1798</v>
      </c>
      <c r="I40" s="62">
        <v>1</v>
      </c>
      <c r="J40" s="36">
        <f>I40/I$38</f>
        <v>0.5</v>
      </c>
    </row>
    <row r="41" spans="1:10">
      <c r="A41" t="s">
        <v>1527</v>
      </c>
      <c r="C41">
        <v>3</v>
      </c>
      <c r="E41" s="29" t="s">
        <v>1528</v>
      </c>
      <c r="F41" s="35">
        <f t="shared" si="2"/>
        <v>0.17391304347826086</v>
      </c>
      <c r="G41" t="s">
        <v>1486</v>
      </c>
    </row>
    <row r="42" spans="1:10" ht="16" thickBot="1">
      <c r="A42" t="s">
        <v>1528</v>
      </c>
      <c r="C42">
        <v>4</v>
      </c>
      <c r="E42" s="29" t="s">
        <v>1529</v>
      </c>
      <c r="F42" s="35">
        <f t="shared" si="2"/>
        <v>0.13043478260869565</v>
      </c>
    </row>
    <row r="43" spans="1:10">
      <c r="A43" t="s">
        <v>1529</v>
      </c>
      <c r="C43">
        <v>3</v>
      </c>
      <c r="E43" s="29" t="s">
        <v>1530</v>
      </c>
      <c r="F43" s="35">
        <f t="shared" si="2"/>
        <v>4.3478260869565216E-2</v>
      </c>
      <c r="H43" s="27" t="s">
        <v>1805</v>
      </c>
      <c r="I43" s="61">
        <v>1</v>
      </c>
      <c r="J43" s="28"/>
    </row>
    <row r="44" spans="1:10">
      <c r="A44" t="s">
        <v>1530</v>
      </c>
      <c r="C44">
        <v>1</v>
      </c>
      <c r="E44" s="29" t="s">
        <v>1531</v>
      </c>
      <c r="F44" s="35">
        <f t="shared" si="2"/>
        <v>0</v>
      </c>
      <c r="H44" s="29" t="s">
        <v>1799</v>
      </c>
      <c r="I44">
        <v>1</v>
      </c>
      <c r="J44" s="35">
        <f t="shared" ref="J44:J49" si="3">I44/I$43</f>
        <v>1</v>
      </c>
    </row>
    <row r="45" spans="1:10">
      <c r="A45" t="s">
        <v>1531</v>
      </c>
      <c r="C45">
        <v>0</v>
      </c>
      <c r="E45" s="29" t="s">
        <v>1532</v>
      </c>
      <c r="F45" s="35">
        <f t="shared" si="2"/>
        <v>0</v>
      </c>
      <c r="H45" s="29" t="s">
        <v>1800</v>
      </c>
      <c r="I45">
        <v>0</v>
      </c>
      <c r="J45" s="35">
        <f t="shared" si="3"/>
        <v>0</v>
      </c>
    </row>
    <row r="46" spans="1:10">
      <c r="A46" t="s">
        <v>1532</v>
      </c>
      <c r="C46">
        <v>0</v>
      </c>
      <c r="E46" s="29" t="s">
        <v>1533</v>
      </c>
      <c r="F46" s="35">
        <f t="shared" si="2"/>
        <v>0</v>
      </c>
      <c r="H46" s="29" t="s">
        <v>1801</v>
      </c>
      <c r="I46">
        <v>0</v>
      </c>
      <c r="J46" s="35">
        <f t="shared" si="3"/>
        <v>0</v>
      </c>
    </row>
    <row r="47" spans="1:10">
      <c r="A47" t="s">
        <v>1533</v>
      </c>
      <c r="C47">
        <v>0</v>
      </c>
      <c r="E47" s="29" t="s">
        <v>1534</v>
      </c>
      <c r="F47" s="35">
        <f t="shared" si="2"/>
        <v>4.3478260869565216E-2</v>
      </c>
      <c r="H47" s="29" t="s">
        <v>1802</v>
      </c>
      <c r="I47">
        <v>0</v>
      </c>
      <c r="J47" s="35">
        <f t="shared" si="3"/>
        <v>0</v>
      </c>
    </row>
    <row r="48" spans="1:10" ht="16" thickBot="1">
      <c r="A48" t="s">
        <v>1534</v>
      </c>
      <c r="C48">
        <v>1</v>
      </c>
      <c r="E48" s="31" t="s">
        <v>1521</v>
      </c>
      <c r="F48" s="36">
        <f t="shared" si="2"/>
        <v>8.6956521739130432E-2</v>
      </c>
      <c r="H48" s="29" t="s">
        <v>1803</v>
      </c>
      <c r="I48">
        <v>0</v>
      </c>
      <c r="J48" s="35">
        <f t="shared" si="3"/>
        <v>0</v>
      </c>
    </row>
    <row r="49" spans="1:10" ht="16" thickBot="1">
      <c r="A49" t="s">
        <v>1521</v>
      </c>
      <c r="C49">
        <v>2</v>
      </c>
      <c r="H49" s="31" t="s">
        <v>1804</v>
      </c>
      <c r="I49" s="62">
        <v>0</v>
      </c>
      <c r="J49" s="36">
        <f t="shared" si="3"/>
        <v>0</v>
      </c>
    </row>
    <row r="50" spans="1:10" ht="16" thickBot="1">
      <c r="A50" t="s">
        <v>1536</v>
      </c>
      <c r="C50">
        <f>SUM(C40:C49)</f>
        <v>23</v>
      </c>
      <c r="E50" s="27" t="s">
        <v>1550</v>
      </c>
      <c r="F50" s="28"/>
    </row>
    <row r="51" spans="1:10">
      <c r="E51" s="29" t="s">
        <v>1542</v>
      </c>
      <c r="F51" s="35">
        <f>C52/C$22</f>
        <v>0.6428571428571429</v>
      </c>
      <c r="H51" s="27" t="s">
        <v>1806</v>
      </c>
      <c r="I51" s="61">
        <v>0</v>
      </c>
      <c r="J51" s="28"/>
    </row>
    <row r="52" spans="1:10">
      <c r="A52" t="s">
        <v>1537</v>
      </c>
      <c r="C52">
        <v>9</v>
      </c>
      <c r="E52" s="29" t="s">
        <v>1543</v>
      </c>
      <c r="F52" s="35">
        <f>C53/C$22</f>
        <v>0.14285714285714285</v>
      </c>
      <c r="H52" s="29" t="s">
        <v>1799</v>
      </c>
      <c r="I52">
        <v>0</v>
      </c>
      <c r="J52" s="35" t="e">
        <f t="shared" ref="J52:J57" si="4">I52/I$51</f>
        <v>#DIV/0!</v>
      </c>
    </row>
    <row r="53" spans="1:10" ht="16" thickBot="1">
      <c r="A53" t="s">
        <v>1538</v>
      </c>
      <c r="C53">
        <v>2</v>
      </c>
      <c r="E53" s="31" t="s">
        <v>1544</v>
      </c>
      <c r="F53" s="36">
        <f>C54/C$22</f>
        <v>0.21428571428571427</v>
      </c>
      <c r="G53" t="s">
        <v>1486</v>
      </c>
      <c r="H53" s="29" t="s">
        <v>1800</v>
      </c>
      <c r="I53">
        <v>0</v>
      </c>
      <c r="J53" s="35" t="e">
        <f t="shared" si="4"/>
        <v>#DIV/0!</v>
      </c>
    </row>
    <row r="54" spans="1:10" ht="16" thickBot="1">
      <c r="A54" t="s">
        <v>1539</v>
      </c>
      <c r="C54">
        <v>3</v>
      </c>
      <c r="H54" s="29" t="s">
        <v>1801</v>
      </c>
      <c r="I54">
        <v>0</v>
      </c>
      <c r="J54" s="35" t="e">
        <f t="shared" si="4"/>
        <v>#DIV/0!</v>
      </c>
    </row>
    <row r="55" spans="1:10">
      <c r="E55" s="27" t="s">
        <v>1547</v>
      </c>
      <c r="F55" s="28"/>
      <c r="H55" s="29" t="s">
        <v>1802</v>
      </c>
      <c r="I55">
        <v>0</v>
      </c>
      <c r="J55" s="35" t="e">
        <f t="shared" si="4"/>
        <v>#DIV/0!</v>
      </c>
    </row>
    <row r="56" spans="1:10">
      <c r="A56" t="s">
        <v>1547</v>
      </c>
      <c r="E56" s="29" t="s">
        <v>1596</v>
      </c>
      <c r="F56" s="35">
        <f>C57/C$22</f>
        <v>0.9285714285714286</v>
      </c>
      <c r="H56" s="29" t="s">
        <v>1803</v>
      </c>
      <c r="I56">
        <v>0</v>
      </c>
      <c r="J56" s="35" t="e">
        <f t="shared" si="4"/>
        <v>#DIV/0!</v>
      </c>
    </row>
    <row r="57" spans="1:10" ht="16" thickBot="1">
      <c r="A57" t="s">
        <v>1568</v>
      </c>
      <c r="C57">
        <v>13</v>
      </c>
      <c r="E57" s="31" t="s">
        <v>1457</v>
      </c>
      <c r="F57" s="36">
        <f>C58/C$22</f>
        <v>7.1428571428571425E-2</v>
      </c>
      <c r="G57" t="s">
        <v>1486</v>
      </c>
      <c r="H57" s="31" t="s">
        <v>1804</v>
      </c>
      <c r="I57" s="62">
        <v>0</v>
      </c>
      <c r="J57" s="36" t="e">
        <f t="shared" si="4"/>
        <v>#DIV/0!</v>
      </c>
    </row>
    <row r="58" spans="1:10" ht="16" thickBot="1">
      <c r="A58" t="s">
        <v>1457</v>
      </c>
      <c r="C58">
        <v>1</v>
      </c>
      <c r="F58" s="48"/>
    </row>
    <row r="59" spans="1:10" ht="16" thickBot="1">
      <c r="E59" s="27" t="s">
        <v>2429</v>
      </c>
      <c r="F59" s="47"/>
    </row>
    <row r="60" spans="1:10">
      <c r="A60" t="s">
        <v>2429</v>
      </c>
      <c r="E60" s="29" t="s">
        <v>2430</v>
      </c>
      <c r="F60" s="35">
        <f>C61/C$58</f>
        <v>1</v>
      </c>
      <c r="H60" s="27" t="s">
        <v>1520</v>
      </c>
      <c r="I60" s="61">
        <v>2</v>
      </c>
      <c r="J60" s="28"/>
    </row>
    <row r="61" spans="1:10" ht="16" thickBot="1">
      <c r="A61" t="s">
        <v>2430</v>
      </c>
      <c r="C61">
        <v>1</v>
      </c>
      <c r="E61" s="31" t="s">
        <v>2431</v>
      </c>
      <c r="F61" s="36">
        <f>C62/C$58</f>
        <v>0</v>
      </c>
      <c r="G61" t="s">
        <v>1486</v>
      </c>
      <c r="H61" s="29" t="s">
        <v>1808</v>
      </c>
      <c r="I61">
        <v>0</v>
      </c>
      <c r="J61" s="35">
        <f>I61/I$60</f>
        <v>0</v>
      </c>
    </row>
    <row r="62" spans="1:10" ht="16" thickBot="1">
      <c r="A62" t="s">
        <v>2431</v>
      </c>
      <c r="C62">
        <v>0</v>
      </c>
      <c r="H62" s="29" t="s">
        <v>1809</v>
      </c>
      <c r="I62">
        <v>0</v>
      </c>
      <c r="J62" s="35">
        <f>I62/I$60</f>
        <v>0</v>
      </c>
    </row>
    <row r="63" spans="1:10">
      <c r="C63" t="s">
        <v>1486</v>
      </c>
      <c r="E63" s="27" t="s">
        <v>1597</v>
      </c>
      <c r="F63" s="28"/>
      <c r="H63" s="29" t="s">
        <v>1810</v>
      </c>
      <c r="I63">
        <v>1</v>
      </c>
      <c r="J63" s="35">
        <f>I63/I$60</f>
        <v>0.5</v>
      </c>
    </row>
    <row r="64" spans="1:10" ht="16" thickBot="1">
      <c r="A64" t="s">
        <v>1598</v>
      </c>
      <c r="E64" s="29" t="s">
        <v>1569</v>
      </c>
      <c r="F64" s="35">
        <f t="shared" ref="F64:F69" si="5">C65/C$22</f>
        <v>0.7857142857142857</v>
      </c>
      <c r="H64" s="31" t="s">
        <v>1811</v>
      </c>
      <c r="I64" s="62">
        <v>1</v>
      </c>
      <c r="J64" s="36">
        <f>I64/I$60</f>
        <v>0.5</v>
      </c>
    </row>
    <row r="65" spans="1:10">
      <c r="A65" t="s">
        <v>1569</v>
      </c>
      <c r="C65">
        <v>11</v>
      </c>
      <c r="E65" s="29" t="s">
        <v>1571</v>
      </c>
      <c r="F65" s="35">
        <f t="shared" si="5"/>
        <v>0.14285714285714285</v>
      </c>
    </row>
    <row r="66" spans="1:10" ht="16" thickBot="1">
      <c r="A66" t="s">
        <v>1571</v>
      </c>
      <c r="C66">
        <v>2</v>
      </c>
      <c r="E66" s="29" t="s">
        <v>1572</v>
      </c>
      <c r="F66" s="35">
        <f t="shared" si="5"/>
        <v>0</v>
      </c>
    </row>
    <row r="67" spans="1:10">
      <c r="A67" t="s">
        <v>1572</v>
      </c>
      <c r="C67">
        <v>0</v>
      </c>
      <c r="E67" s="29" t="s">
        <v>1573</v>
      </c>
      <c r="F67" s="35">
        <f t="shared" si="5"/>
        <v>0</v>
      </c>
      <c r="H67" s="27" t="s">
        <v>1574</v>
      </c>
      <c r="I67" s="61">
        <v>1</v>
      </c>
      <c r="J67" s="28"/>
    </row>
    <row r="68" spans="1:10">
      <c r="A68" t="s">
        <v>1573</v>
      </c>
      <c r="C68">
        <v>0</v>
      </c>
      <c r="E68" s="29" t="s">
        <v>1570</v>
      </c>
      <c r="F68" s="35">
        <f t="shared" si="5"/>
        <v>7.1428571428571425E-2</v>
      </c>
      <c r="H68" s="29" t="s">
        <v>1820</v>
      </c>
      <c r="I68">
        <v>1</v>
      </c>
      <c r="J68" s="35">
        <f t="shared" ref="J68:J73" si="6">I68/I$67</f>
        <v>1</v>
      </c>
    </row>
    <row r="69" spans="1:10" ht="16" thickBot="1">
      <c r="A69" t="s">
        <v>1570</v>
      </c>
      <c r="C69">
        <v>1</v>
      </c>
      <c r="E69" s="31" t="s">
        <v>1574</v>
      </c>
      <c r="F69" s="36">
        <f t="shared" si="5"/>
        <v>7.1428571428571425E-2</v>
      </c>
      <c r="G69" t="s">
        <v>1486</v>
      </c>
      <c r="H69" s="29" t="s">
        <v>1812</v>
      </c>
      <c r="I69">
        <v>0</v>
      </c>
      <c r="J69" s="35">
        <f t="shared" si="6"/>
        <v>0</v>
      </c>
    </row>
    <row r="70" spans="1:10" ht="16" thickBot="1">
      <c r="A70" t="s">
        <v>1574</v>
      </c>
      <c r="C70">
        <v>1</v>
      </c>
      <c r="H70" s="29" t="s">
        <v>1813</v>
      </c>
      <c r="I70">
        <v>0</v>
      </c>
      <c r="J70" s="35">
        <f t="shared" si="6"/>
        <v>0</v>
      </c>
    </row>
    <row r="71" spans="1:10">
      <c r="E71" s="27" t="s">
        <v>1551</v>
      </c>
      <c r="F71" s="28"/>
      <c r="H71" s="29" t="s">
        <v>1814</v>
      </c>
      <c r="I71">
        <v>0</v>
      </c>
      <c r="J71" s="35">
        <f t="shared" si="6"/>
        <v>0</v>
      </c>
    </row>
    <row r="72" spans="1:10">
      <c r="A72" t="s">
        <v>1540</v>
      </c>
      <c r="C72">
        <v>3</v>
      </c>
      <c r="E72" s="29" t="s">
        <v>1506</v>
      </c>
      <c r="F72" s="35">
        <f t="shared" ref="F72:F77" si="7">C73/C$22</f>
        <v>0.7857142857142857</v>
      </c>
      <c r="H72" s="29" t="s">
        <v>1716</v>
      </c>
      <c r="I72">
        <v>0</v>
      </c>
      <c r="J72" s="35">
        <f t="shared" si="6"/>
        <v>0</v>
      </c>
    </row>
    <row r="73" spans="1:10" ht="16" thickBot="1">
      <c r="A73" t="s">
        <v>1506</v>
      </c>
      <c r="C73">
        <v>11</v>
      </c>
      <c r="E73" s="29" t="s">
        <v>1503</v>
      </c>
      <c r="F73" s="35">
        <f t="shared" si="7"/>
        <v>0.14285714285714285</v>
      </c>
      <c r="H73" s="31" t="s">
        <v>1815</v>
      </c>
      <c r="I73" s="62">
        <v>0</v>
      </c>
      <c r="J73" s="36">
        <f t="shared" si="6"/>
        <v>0</v>
      </c>
    </row>
    <row r="74" spans="1:10">
      <c r="A74" t="s">
        <v>1503</v>
      </c>
      <c r="C74">
        <v>2</v>
      </c>
      <c r="E74" s="29" t="s">
        <v>1502</v>
      </c>
      <c r="F74" s="35">
        <f t="shared" si="7"/>
        <v>7.1428571428571425E-2</v>
      </c>
    </row>
    <row r="75" spans="1:10">
      <c r="A75" t="s">
        <v>1502</v>
      </c>
      <c r="C75">
        <v>1</v>
      </c>
      <c r="E75" s="29" t="s">
        <v>1507</v>
      </c>
      <c r="F75" s="35">
        <f t="shared" si="7"/>
        <v>0</v>
      </c>
    </row>
    <row r="76" spans="1:10">
      <c r="A76" t="s">
        <v>1507</v>
      </c>
      <c r="C76">
        <v>0</v>
      </c>
      <c r="E76" s="29" t="s">
        <v>1505</v>
      </c>
      <c r="F76" s="35">
        <f t="shared" si="7"/>
        <v>0</v>
      </c>
    </row>
    <row r="77" spans="1:10" ht="16" thickBot="1">
      <c r="A77" t="s">
        <v>1505</v>
      </c>
      <c r="C77">
        <v>0</v>
      </c>
      <c r="E77" s="31" t="s">
        <v>1504</v>
      </c>
      <c r="F77" s="36">
        <f t="shared" si="7"/>
        <v>0</v>
      </c>
    </row>
    <row r="78" spans="1:10">
      <c r="A78" t="s">
        <v>1504</v>
      </c>
      <c r="C78">
        <v>0</v>
      </c>
    </row>
  </sheetData>
  <mergeCells count="1">
    <mergeCell ref="A18:F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9"/>
  <sheetViews>
    <sheetView topLeftCell="A53" workbookViewId="0">
      <selection activeCell="C83" sqref="C83"/>
    </sheetView>
  </sheetViews>
  <sheetFormatPr baseColWidth="10" defaultRowHeight="15"/>
  <cols>
    <col min="2" max="2" width="31.5" customWidth="1"/>
    <col min="3" max="3" width="12.5" customWidth="1"/>
    <col min="7" max="7" width="47.83203125" customWidth="1"/>
    <col min="8" max="8" width="50.83203125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44287</v>
      </c>
      <c r="B2" t="s">
        <v>225</v>
      </c>
      <c r="C2" t="s">
        <v>1506</v>
      </c>
      <c r="D2" t="s">
        <v>1509</v>
      </c>
      <c r="E2" t="s">
        <v>228</v>
      </c>
      <c r="F2" s="8">
        <v>1130</v>
      </c>
      <c r="G2" t="s">
        <v>229</v>
      </c>
      <c r="H2" t="s">
        <v>230</v>
      </c>
    </row>
    <row r="3" spans="1:8">
      <c r="A3" s="6">
        <v>44289</v>
      </c>
      <c r="B3" t="s">
        <v>232</v>
      </c>
      <c r="C3" t="s">
        <v>1506</v>
      </c>
      <c r="D3" t="s">
        <v>1509</v>
      </c>
      <c r="E3" t="s">
        <v>18</v>
      </c>
      <c r="F3" s="8">
        <v>1018</v>
      </c>
      <c r="G3" t="s">
        <v>235</v>
      </c>
      <c r="H3" t="s">
        <v>249</v>
      </c>
    </row>
    <row r="4" spans="1:8">
      <c r="A4" s="6">
        <v>44291</v>
      </c>
      <c r="B4" t="s">
        <v>237</v>
      </c>
      <c r="C4" t="s">
        <v>1506</v>
      </c>
      <c r="D4" t="s">
        <v>1509</v>
      </c>
      <c r="E4" t="s">
        <v>18</v>
      </c>
      <c r="F4" s="8">
        <v>1040</v>
      </c>
      <c r="G4" t="s">
        <v>240</v>
      </c>
      <c r="H4" t="s">
        <v>241</v>
      </c>
    </row>
    <row r="5" spans="1:8">
      <c r="A5" s="6">
        <v>44292</v>
      </c>
      <c r="B5" t="s">
        <v>250</v>
      </c>
      <c r="C5" t="s">
        <v>1502</v>
      </c>
      <c r="D5" t="s">
        <v>1509</v>
      </c>
      <c r="E5" t="s">
        <v>18</v>
      </c>
      <c r="F5" s="8">
        <v>696</v>
      </c>
      <c r="G5" t="s">
        <v>253</v>
      </c>
      <c r="H5" t="s">
        <v>260</v>
      </c>
    </row>
    <row r="6" spans="1:8">
      <c r="A6" s="6">
        <v>44292</v>
      </c>
      <c r="B6" t="s">
        <v>254</v>
      </c>
      <c r="C6" t="s">
        <v>1506</v>
      </c>
      <c r="D6" t="s">
        <v>1509</v>
      </c>
      <c r="E6" t="s">
        <v>18</v>
      </c>
      <c r="F6" s="8">
        <v>968</v>
      </c>
      <c r="G6" t="s">
        <v>257</v>
      </c>
      <c r="H6" t="s">
        <v>258</v>
      </c>
    </row>
    <row r="7" spans="1:8">
      <c r="A7" s="6">
        <v>44291</v>
      </c>
      <c r="B7" t="s">
        <v>245</v>
      </c>
      <c r="C7" t="s">
        <v>1506</v>
      </c>
      <c r="D7" t="s">
        <v>1509</v>
      </c>
      <c r="E7" t="s">
        <v>18</v>
      </c>
      <c r="F7" s="8">
        <v>680</v>
      </c>
      <c r="G7" t="s">
        <v>1607</v>
      </c>
      <c r="H7" t="s">
        <v>1366</v>
      </c>
    </row>
    <row r="8" spans="1:8">
      <c r="A8" s="6">
        <v>44293</v>
      </c>
      <c r="B8" t="s">
        <v>287</v>
      </c>
      <c r="C8" t="s">
        <v>1506</v>
      </c>
      <c r="D8" t="s">
        <v>1509</v>
      </c>
      <c r="E8" t="s">
        <v>18</v>
      </c>
      <c r="F8" s="8">
        <v>1805</v>
      </c>
      <c r="G8" t="s">
        <v>290</v>
      </c>
      <c r="H8" t="s">
        <v>20</v>
      </c>
    </row>
    <row r="9" spans="1:8">
      <c r="A9" s="6">
        <v>44295</v>
      </c>
      <c r="B9" t="s">
        <v>263</v>
      </c>
      <c r="C9" t="s">
        <v>1503</v>
      </c>
      <c r="D9" t="s">
        <v>1509</v>
      </c>
      <c r="E9" t="s">
        <v>18</v>
      </c>
      <c r="F9" s="8">
        <v>1194</v>
      </c>
      <c r="G9" t="s">
        <v>266</v>
      </c>
      <c r="H9" t="s">
        <v>267</v>
      </c>
    </row>
    <row r="10" spans="1:8">
      <c r="A10" s="6">
        <v>44295</v>
      </c>
      <c r="B10" t="s">
        <v>270</v>
      </c>
      <c r="C10" t="s">
        <v>1506</v>
      </c>
      <c r="D10" t="s">
        <v>1509</v>
      </c>
      <c r="E10" t="s">
        <v>18</v>
      </c>
      <c r="F10" s="8">
        <v>612</v>
      </c>
      <c r="G10" t="s">
        <v>273</v>
      </c>
      <c r="H10" t="s">
        <v>274</v>
      </c>
    </row>
    <row r="11" spans="1:8">
      <c r="A11" s="6">
        <v>44296</v>
      </c>
      <c r="B11" t="s">
        <v>2404</v>
      </c>
      <c r="C11" t="s">
        <v>1503</v>
      </c>
      <c r="D11" t="s">
        <v>1509</v>
      </c>
      <c r="E11" t="s">
        <v>1455</v>
      </c>
      <c r="F11" s="8">
        <v>3351.06</v>
      </c>
      <c r="G11" t="s">
        <v>2405</v>
      </c>
      <c r="H11" t="s">
        <v>1457</v>
      </c>
    </row>
    <row r="12" spans="1:8">
      <c r="A12" s="6">
        <v>44298</v>
      </c>
      <c r="B12" t="s">
        <v>277</v>
      </c>
      <c r="C12" t="s">
        <v>1506</v>
      </c>
      <c r="D12" t="s">
        <v>1510</v>
      </c>
      <c r="E12" t="s">
        <v>18</v>
      </c>
      <c r="F12" s="8">
        <v>2580</v>
      </c>
      <c r="G12" t="s">
        <v>280</v>
      </c>
      <c r="H12" t="s">
        <v>281</v>
      </c>
    </row>
    <row r="13" spans="1:8">
      <c r="A13" s="6">
        <v>44298</v>
      </c>
      <c r="B13" t="s">
        <v>282</v>
      </c>
      <c r="C13" t="s">
        <v>1506</v>
      </c>
      <c r="D13" t="s">
        <v>1509</v>
      </c>
      <c r="E13" t="s">
        <v>18</v>
      </c>
      <c r="F13" s="8">
        <v>1208</v>
      </c>
      <c r="G13" t="s">
        <v>285</v>
      </c>
      <c r="H13" t="s">
        <v>140</v>
      </c>
    </row>
    <row r="14" spans="1:8">
      <c r="A14" s="6">
        <v>44298</v>
      </c>
      <c r="B14" t="s">
        <v>310</v>
      </c>
      <c r="C14" t="s">
        <v>1506</v>
      </c>
      <c r="D14" t="s">
        <v>1509</v>
      </c>
      <c r="E14" t="s">
        <v>18</v>
      </c>
      <c r="F14" s="8">
        <v>676.8</v>
      </c>
      <c r="G14" t="s">
        <v>313</v>
      </c>
    </row>
    <row r="15" spans="1:8">
      <c r="A15" s="6">
        <v>44299</v>
      </c>
      <c r="B15" t="s">
        <v>292</v>
      </c>
      <c r="C15" t="s">
        <v>1507</v>
      </c>
      <c r="D15" t="s">
        <v>1509</v>
      </c>
      <c r="E15" t="s">
        <v>18</v>
      </c>
      <c r="F15" s="8">
        <v>2422</v>
      </c>
      <c r="G15" t="s">
        <v>295</v>
      </c>
      <c r="H15" t="s">
        <v>38</v>
      </c>
    </row>
    <row r="16" spans="1:8">
      <c r="A16" s="6">
        <v>44300</v>
      </c>
      <c r="B16" t="s">
        <v>296</v>
      </c>
      <c r="C16" t="s">
        <v>1503</v>
      </c>
      <c r="D16" t="s">
        <v>1509</v>
      </c>
      <c r="E16" t="s">
        <v>18</v>
      </c>
      <c r="F16" s="8">
        <v>600</v>
      </c>
      <c r="G16" t="s">
        <v>1480</v>
      </c>
      <c r="H16" t="s">
        <v>298</v>
      </c>
    </row>
    <row r="17" spans="1:8">
      <c r="A17" s="6">
        <v>44299</v>
      </c>
      <c r="B17" t="s">
        <v>314</v>
      </c>
      <c r="C17" t="s">
        <v>1506</v>
      </c>
      <c r="D17" t="s">
        <v>1509</v>
      </c>
      <c r="E17" t="s">
        <v>18</v>
      </c>
      <c r="F17" s="8">
        <v>1178.95</v>
      </c>
      <c r="G17" t="s">
        <v>673</v>
      </c>
      <c r="H17" t="s">
        <v>323</v>
      </c>
    </row>
    <row r="18" spans="1:8">
      <c r="A18" s="6">
        <v>44300</v>
      </c>
      <c r="B18" t="s">
        <v>300</v>
      </c>
      <c r="C18" t="s">
        <v>1503</v>
      </c>
      <c r="D18" t="s">
        <v>1509</v>
      </c>
      <c r="E18" t="s">
        <v>18</v>
      </c>
      <c r="F18" s="8">
        <v>2642.8</v>
      </c>
      <c r="G18" t="s">
        <v>1481</v>
      </c>
      <c r="H18" t="s">
        <v>281</v>
      </c>
    </row>
    <row r="19" spans="1:8">
      <c r="A19" s="6">
        <v>44300</v>
      </c>
      <c r="B19" t="s">
        <v>304</v>
      </c>
      <c r="C19" t="s">
        <v>1503</v>
      </c>
      <c r="D19" t="s">
        <v>1509</v>
      </c>
      <c r="E19" t="s">
        <v>63</v>
      </c>
      <c r="F19" s="8">
        <v>1922.4</v>
      </c>
      <c r="G19" t="s">
        <v>306</v>
      </c>
      <c r="H19" t="s">
        <v>309</v>
      </c>
    </row>
    <row r="20" spans="1:8">
      <c r="A20" s="6">
        <v>44301</v>
      </c>
      <c r="B20" t="s">
        <v>300</v>
      </c>
      <c r="C20" t="s">
        <v>1503</v>
      </c>
      <c r="D20" t="s">
        <v>1509</v>
      </c>
      <c r="E20" t="s">
        <v>1455</v>
      </c>
      <c r="F20" s="8">
        <v>665</v>
      </c>
      <c r="G20" t="s">
        <v>1053</v>
      </c>
      <c r="H20" t="s">
        <v>1457</v>
      </c>
    </row>
    <row r="21" spans="1:8">
      <c r="A21" s="6">
        <v>44303</v>
      </c>
      <c r="B21" t="s">
        <v>319</v>
      </c>
      <c r="C21" t="s">
        <v>1506</v>
      </c>
      <c r="D21" t="s">
        <v>1509</v>
      </c>
      <c r="E21" t="s">
        <v>18</v>
      </c>
      <c r="F21" s="8">
        <v>980.4</v>
      </c>
      <c r="G21" t="s">
        <v>322</v>
      </c>
      <c r="H21" t="s">
        <v>281</v>
      </c>
    </row>
    <row r="22" spans="1:8">
      <c r="A22" s="6">
        <v>44303</v>
      </c>
      <c r="B22" t="s">
        <v>325</v>
      </c>
      <c r="C22" t="s">
        <v>1506</v>
      </c>
      <c r="D22" t="s">
        <v>1510</v>
      </c>
      <c r="E22" t="s">
        <v>18</v>
      </c>
      <c r="F22" s="8">
        <v>2549.6799999999998</v>
      </c>
      <c r="G22" t="s">
        <v>328</v>
      </c>
      <c r="H22" t="s">
        <v>329</v>
      </c>
    </row>
    <row r="23" spans="1:8">
      <c r="A23" s="6">
        <v>44305</v>
      </c>
      <c r="B23" t="s">
        <v>331</v>
      </c>
      <c r="C23" t="s">
        <v>1506</v>
      </c>
      <c r="D23" t="s">
        <v>1509</v>
      </c>
      <c r="E23" t="s">
        <v>18</v>
      </c>
      <c r="F23" s="8">
        <v>1073</v>
      </c>
      <c r="G23" t="s">
        <v>334</v>
      </c>
      <c r="H23" t="s">
        <v>335</v>
      </c>
    </row>
    <row r="24" spans="1:8">
      <c r="A24" s="6">
        <v>44307</v>
      </c>
      <c r="B24" t="s">
        <v>337</v>
      </c>
      <c r="C24" t="s">
        <v>1506</v>
      </c>
      <c r="D24" t="s">
        <v>1509</v>
      </c>
      <c r="E24" t="s">
        <v>63</v>
      </c>
      <c r="F24" s="8">
        <v>2183.4</v>
      </c>
      <c r="G24" t="s">
        <v>340</v>
      </c>
      <c r="H24" t="s">
        <v>341</v>
      </c>
    </row>
    <row r="25" spans="1:8">
      <c r="A25" s="6">
        <v>44308</v>
      </c>
      <c r="B25" t="s">
        <v>343</v>
      </c>
      <c r="C25" t="s">
        <v>1507</v>
      </c>
      <c r="D25" t="s">
        <v>1509</v>
      </c>
      <c r="E25" t="s">
        <v>18</v>
      </c>
      <c r="F25" s="8">
        <v>684.76</v>
      </c>
      <c r="G25" t="s">
        <v>346</v>
      </c>
      <c r="H25" t="s">
        <v>403</v>
      </c>
    </row>
    <row r="26" spans="1:8">
      <c r="A26" s="6">
        <v>44308</v>
      </c>
      <c r="B26" t="s">
        <v>348</v>
      </c>
      <c r="C26" t="s">
        <v>1503</v>
      </c>
      <c r="D26" t="s">
        <v>1509</v>
      </c>
      <c r="E26" t="s">
        <v>18</v>
      </c>
      <c r="F26" s="8">
        <v>1225.5</v>
      </c>
      <c r="G26" t="s">
        <v>351</v>
      </c>
      <c r="H26" t="s">
        <v>402</v>
      </c>
    </row>
    <row r="27" spans="1:8">
      <c r="A27" s="6">
        <v>44312</v>
      </c>
      <c r="B27" t="s">
        <v>353</v>
      </c>
      <c r="C27" t="s">
        <v>1507</v>
      </c>
      <c r="D27" t="s">
        <v>1509</v>
      </c>
      <c r="E27" t="s">
        <v>18</v>
      </c>
      <c r="F27" s="8">
        <v>615</v>
      </c>
      <c r="G27" t="s">
        <v>356</v>
      </c>
      <c r="H27" t="s">
        <v>403</v>
      </c>
    </row>
    <row r="28" spans="1:8">
      <c r="A28" s="6">
        <v>44313</v>
      </c>
      <c r="B28" t="s">
        <v>358</v>
      </c>
      <c r="C28" t="s">
        <v>1503</v>
      </c>
      <c r="D28" t="s">
        <v>1509</v>
      </c>
      <c r="E28" t="s">
        <v>18</v>
      </c>
      <c r="F28" s="8">
        <v>1887.7</v>
      </c>
      <c r="G28" t="s">
        <v>175</v>
      </c>
      <c r="H28" t="s">
        <v>403</v>
      </c>
    </row>
    <row r="29" spans="1:8">
      <c r="A29" s="6">
        <v>44309</v>
      </c>
      <c r="B29" t="s">
        <v>361</v>
      </c>
      <c r="C29" t="s">
        <v>1503</v>
      </c>
      <c r="D29" t="s">
        <v>1509</v>
      </c>
      <c r="E29" t="s">
        <v>18</v>
      </c>
      <c r="F29" s="8">
        <v>2000</v>
      </c>
      <c r="G29" t="s">
        <v>175</v>
      </c>
      <c r="H29" t="s">
        <v>364</v>
      </c>
    </row>
    <row r="30" spans="1:8">
      <c r="A30" s="6">
        <v>44314</v>
      </c>
      <c r="B30" t="s">
        <v>361</v>
      </c>
      <c r="C30" t="s">
        <v>1503</v>
      </c>
      <c r="D30" t="s">
        <v>1509</v>
      </c>
      <c r="E30" t="s">
        <v>1455</v>
      </c>
      <c r="F30" s="8">
        <v>900</v>
      </c>
      <c r="G30" t="s">
        <v>1482</v>
      </c>
      <c r="H30" t="s">
        <v>1457</v>
      </c>
    </row>
    <row r="31" spans="1:8">
      <c r="A31" s="6">
        <v>44315</v>
      </c>
      <c r="B31" t="s">
        <v>367</v>
      </c>
      <c r="C31" t="s">
        <v>1502</v>
      </c>
      <c r="D31" t="s">
        <v>1509</v>
      </c>
      <c r="E31" t="s">
        <v>18</v>
      </c>
      <c r="F31" s="8">
        <v>963</v>
      </c>
      <c r="G31" t="s">
        <v>371</v>
      </c>
      <c r="H31" t="s">
        <v>404</v>
      </c>
    </row>
    <row r="32" spans="1:8">
      <c r="A32" s="6">
        <v>44315</v>
      </c>
      <c r="B32" t="s">
        <v>372</v>
      </c>
      <c r="C32" t="s">
        <v>1506</v>
      </c>
      <c r="D32" t="s">
        <v>1509</v>
      </c>
      <c r="E32" t="s">
        <v>18</v>
      </c>
      <c r="F32" s="8">
        <v>887.6</v>
      </c>
      <c r="G32" t="s">
        <v>375</v>
      </c>
      <c r="H32" t="s">
        <v>421</v>
      </c>
    </row>
    <row r="33" spans="1:10">
      <c r="A33" s="6">
        <v>44315</v>
      </c>
      <c r="B33" t="s">
        <v>377</v>
      </c>
      <c r="C33" t="s">
        <v>1506</v>
      </c>
      <c r="D33" t="s">
        <v>1509</v>
      </c>
      <c r="E33" t="s">
        <v>18</v>
      </c>
      <c r="F33" s="8">
        <v>3042.04</v>
      </c>
      <c r="G33" t="s">
        <v>1837</v>
      </c>
      <c r="H33" t="s">
        <v>415</v>
      </c>
    </row>
    <row r="34" spans="1:10">
      <c r="A34" s="6">
        <v>44316</v>
      </c>
      <c r="B34" t="s">
        <v>382</v>
      </c>
      <c r="C34" t="s">
        <v>1503</v>
      </c>
      <c r="D34" t="s">
        <v>1509</v>
      </c>
      <c r="E34" t="s">
        <v>18</v>
      </c>
      <c r="F34" s="8">
        <v>1349.95</v>
      </c>
      <c r="G34" t="s">
        <v>385</v>
      </c>
      <c r="H34" t="s">
        <v>392</v>
      </c>
    </row>
    <row r="35" spans="1:10">
      <c r="A35" s="6">
        <v>44316</v>
      </c>
      <c r="B35" t="s">
        <v>387</v>
      </c>
      <c r="C35" t="s">
        <v>1506</v>
      </c>
      <c r="D35" t="s">
        <v>1509</v>
      </c>
      <c r="E35" t="s">
        <v>18</v>
      </c>
      <c r="F35" s="8">
        <v>1022.2</v>
      </c>
      <c r="G35" t="s">
        <v>390</v>
      </c>
      <c r="H35" t="s">
        <v>391</v>
      </c>
    </row>
    <row r="39" spans="1:10" ht="16" thickBot="1">
      <c r="A39" s="106" t="s">
        <v>1541</v>
      </c>
      <c r="B39" s="106"/>
      <c r="C39" s="106"/>
      <c r="D39" s="106"/>
      <c r="E39" s="106"/>
      <c r="F39" s="106"/>
    </row>
    <row r="40" spans="1:10">
      <c r="A40" t="s">
        <v>1513</v>
      </c>
      <c r="C40" s="8">
        <f>SUM(F2:F35)</f>
        <v>47754.239999999998</v>
      </c>
      <c r="E40" s="27" t="s">
        <v>1546</v>
      </c>
      <c r="F40" s="28"/>
      <c r="H40" s="27" t="s">
        <v>1515</v>
      </c>
      <c r="I40" s="61">
        <v>12</v>
      </c>
      <c r="J40" s="47"/>
    </row>
    <row r="41" spans="1:10">
      <c r="E41" s="29" t="s">
        <v>1552</v>
      </c>
      <c r="F41" s="50">
        <v>47754.239999999998</v>
      </c>
      <c r="H41" s="29" t="s">
        <v>1768</v>
      </c>
      <c r="I41">
        <v>0</v>
      </c>
      <c r="J41" s="35">
        <f>I41/I$40</f>
        <v>0</v>
      </c>
    </row>
    <row r="42" spans="1:10" ht="16" thickBot="1">
      <c r="A42" t="s">
        <v>1545</v>
      </c>
      <c r="C42">
        <v>23</v>
      </c>
      <c r="E42" s="31" t="s">
        <v>1553</v>
      </c>
      <c r="F42" s="42">
        <f>C40/C42</f>
        <v>2076.2713043478261</v>
      </c>
      <c r="H42" s="29" t="s">
        <v>1769</v>
      </c>
      <c r="I42">
        <v>12</v>
      </c>
      <c r="J42" s="35">
        <f>I42/I$40</f>
        <v>1</v>
      </c>
    </row>
    <row r="43" spans="1:10" ht="16" thickBot="1">
      <c r="A43" t="s">
        <v>1758</v>
      </c>
      <c r="C43">
        <v>34</v>
      </c>
      <c r="H43" s="31" t="s">
        <v>1770</v>
      </c>
      <c r="I43" s="62">
        <v>0</v>
      </c>
      <c r="J43" s="36">
        <f>I43/I$40</f>
        <v>0</v>
      </c>
    </row>
    <row r="44" spans="1:10">
      <c r="D44" t="s">
        <v>1486</v>
      </c>
      <c r="E44" s="27" t="s">
        <v>1547</v>
      </c>
      <c r="F44" s="28"/>
    </row>
    <row r="45" spans="1:10" ht="16" thickBot="1">
      <c r="A45" t="s">
        <v>1511</v>
      </c>
      <c r="C45">
        <v>32</v>
      </c>
      <c r="D45" t="s">
        <v>1486</v>
      </c>
      <c r="E45" s="29" t="s">
        <v>1509</v>
      </c>
      <c r="F45" s="35">
        <f>C45/C$43</f>
        <v>0.94117647058823528</v>
      </c>
      <c r="G45" t="s">
        <v>1486</v>
      </c>
    </row>
    <row r="46" spans="1:10" ht="16" thickBot="1">
      <c r="A46" t="s">
        <v>1512</v>
      </c>
      <c r="C46">
        <v>2</v>
      </c>
      <c r="E46" s="31" t="s">
        <v>1510</v>
      </c>
      <c r="F46" s="36">
        <f>C46/C$43</f>
        <v>5.8823529411764705E-2</v>
      </c>
      <c r="H46" s="27" t="s">
        <v>1807</v>
      </c>
      <c r="I46" s="61">
        <v>19</v>
      </c>
      <c r="J46" s="47"/>
    </row>
    <row r="47" spans="1:10" ht="16" thickBot="1">
      <c r="H47" s="29" t="s">
        <v>1771</v>
      </c>
      <c r="I47">
        <v>10</v>
      </c>
      <c r="J47" s="35">
        <f>I47/I$46</f>
        <v>0.52631578947368418</v>
      </c>
    </row>
    <row r="48" spans="1:10">
      <c r="A48" t="s">
        <v>1524</v>
      </c>
      <c r="E48" s="27" t="s">
        <v>1548</v>
      </c>
      <c r="F48" s="28"/>
      <c r="H48" s="29" t="s">
        <v>1772</v>
      </c>
      <c r="I48">
        <v>6</v>
      </c>
      <c r="J48" s="35">
        <f>I48/I$46</f>
        <v>0.31578947368421051</v>
      </c>
    </row>
    <row r="49" spans="1:10">
      <c r="A49" t="s">
        <v>1514</v>
      </c>
      <c r="C49">
        <v>2</v>
      </c>
      <c r="E49" s="29" t="s">
        <v>1514</v>
      </c>
      <c r="F49" s="35">
        <f>C49/C$58</f>
        <v>3.0303030303030304E-2</v>
      </c>
      <c r="G49" t="s">
        <v>1486</v>
      </c>
      <c r="H49" s="29" t="s">
        <v>1773</v>
      </c>
      <c r="I49">
        <v>3</v>
      </c>
      <c r="J49" s="35">
        <f>I49/I$46</f>
        <v>0.15789473684210525</v>
      </c>
    </row>
    <row r="50" spans="1:10">
      <c r="A50" t="s">
        <v>1515</v>
      </c>
      <c r="C50">
        <v>12</v>
      </c>
      <c r="E50" s="29" t="s">
        <v>1515</v>
      </c>
      <c r="F50" s="35">
        <f t="shared" ref="F50:F57" si="0">C50/C$58</f>
        <v>0.18181818181818182</v>
      </c>
      <c r="H50" s="29"/>
      <c r="J50" s="35"/>
    </row>
    <row r="51" spans="1:10">
      <c r="A51" t="s">
        <v>1516</v>
      </c>
      <c r="C51">
        <v>19</v>
      </c>
      <c r="E51" s="29" t="s">
        <v>1516</v>
      </c>
      <c r="F51" s="35">
        <f t="shared" si="0"/>
        <v>0.2878787878787879</v>
      </c>
      <c r="H51" s="29" t="s">
        <v>1857</v>
      </c>
      <c r="I51">
        <v>3</v>
      </c>
      <c r="J51" s="35">
        <f>I51/I$46</f>
        <v>0.15789473684210525</v>
      </c>
    </row>
    <row r="52" spans="1:10">
      <c r="A52" t="s">
        <v>1517</v>
      </c>
      <c r="C52">
        <v>1</v>
      </c>
      <c r="E52" s="29" t="s">
        <v>1517</v>
      </c>
      <c r="F52" s="35">
        <f t="shared" si="0"/>
        <v>1.5151515151515152E-2</v>
      </c>
      <c r="H52" s="29" t="s">
        <v>1774</v>
      </c>
      <c r="I52">
        <v>4</v>
      </c>
      <c r="J52" s="35">
        <f>I52/I$46</f>
        <v>0.21052631578947367</v>
      </c>
    </row>
    <row r="53" spans="1:10">
      <c r="A53" t="s">
        <v>1518</v>
      </c>
      <c r="C53">
        <v>9</v>
      </c>
      <c r="E53" s="29" t="s">
        <v>1518</v>
      </c>
      <c r="F53" s="35">
        <f t="shared" si="0"/>
        <v>0.13636363636363635</v>
      </c>
      <c r="H53" s="29" t="s">
        <v>1775</v>
      </c>
      <c r="I53">
        <v>6</v>
      </c>
      <c r="J53" s="35">
        <f>I53/I$46</f>
        <v>0.31578947368421051</v>
      </c>
    </row>
    <row r="54" spans="1:10">
      <c r="A54" t="s">
        <v>1519</v>
      </c>
      <c r="C54">
        <v>3</v>
      </c>
      <c r="E54" s="29" t="s">
        <v>1519</v>
      </c>
      <c r="F54" s="35">
        <f t="shared" si="0"/>
        <v>4.5454545454545456E-2</v>
      </c>
      <c r="H54" s="29" t="s">
        <v>1776</v>
      </c>
      <c r="I54">
        <v>2</v>
      </c>
      <c r="J54" s="35">
        <f>I54/I$46</f>
        <v>0.10526315789473684</v>
      </c>
    </row>
    <row r="55" spans="1:10" ht="16" thickBot="1">
      <c r="A55" t="s">
        <v>1520</v>
      </c>
      <c r="C55">
        <v>11</v>
      </c>
      <c r="E55" s="29" t="s">
        <v>1520</v>
      </c>
      <c r="F55" s="35">
        <f t="shared" si="0"/>
        <v>0.16666666666666666</v>
      </c>
      <c r="H55" s="31" t="s">
        <v>1777</v>
      </c>
      <c r="I55" s="62">
        <v>4</v>
      </c>
      <c r="J55" s="36">
        <f>I55/I$46</f>
        <v>0.21052631578947367</v>
      </c>
    </row>
    <row r="56" spans="1:10">
      <c r="A56" t="s">
        <v>1522</v>
      </c>
      <c r="C56">
        <v>1</v>
      </c>
      <c r="E56" s="29" t="s">
        <v>1522</v>
      </c>
      <c r="F56" s="35">
        <f t="shared" si="0"/>
        <v>1.5151515151515152E-2</v>
      </c>
    </row>
    <row r="57" spans="1:10" ht="16" thickBot="1">
      <c r="A57" t="s">
        <v>1574</v>
      </c>
      <c r="C57">
        <v>8</v>
      </c>
      <c r="E57" s="31" t="s">
        <v>1574</v>
      </c>
      <c r="F57" s="36">
        <f t="shared" si="0"/>
        <v>0.12121212121212122</v>
      </c>
    </row>
    <row r="58" spans="1:10" ht="16" thickBot="1">
      <c r="A58" t="s">
        <v>1523</v>
      </c>
      <c r="C58">
        <f>SUM(C49:C57)</f>
        <v>66</v>
      </c>
      <c r="H58" s="27" t="s">
        <v>1518</v>
      </c>
      <c r="I58" s="61">
        <v>9</v>
      </c>
      <c r="J58" s="47"/>
    </row>
    <row r="59" spans="1:10">
      <c r="E59" s="27" t="s">
        <v>1549</v>
      </c>
      <c r="F59" s="28"/>
      <c r="H59" s="29" t="s">
        <v>1797</v>
      </c>
      <c r="I59">
        <v>2</v>
      </c>
      <c r="J59" s="35">
        <f>I59/I$58</f>
        <v>0.22222222222222221</v>
      </c>
    </row>
    <row r="60" spans="1:10" ht="16" thickBot="1">
      <c r="A60" t="s">
        <v>1525</v>
      </c>
      <c r="E60" s="29" t="s">
        <v>1526</v>
      </c>
      <c r="F60" s="35">
        <f>C61/C$71</f>
        <v>0.34782608695652173</v>
      </c>
      <c r="H60" s="31" t="s">
        <v>1798</v>
      </c>
      <c r="I60" s="62">
        <v>7</v>
      </c>
      <c r="J60" s="36">
        <f>I60/I$58</f>
        <v>0.77777777777777779</v>
      </c>
    </row>
    <row r="61" spans="1:10">
      <c r="A61" t="s">
        <v>1526</v>
      </c>
      <c r="C61">
        <v>24</v>
      </c>
      <c r="E61" s="29" t="s">
        <v>1527</v>
      </c>
      <c r="F61" s="35">
        <f t="shared" ref="F61:F69" si="1">C62/C$71</f>
        <v>0.18840579710144928</v>
      </c>
      <c r="G61" t="s">
        <v>1486</v>
      </c>
    </row>
    <row r="62" spans="1:10" ht="16" thickBot="1">
      <c r="A62" t="s">
        <v>1527</v>
      </c>
      <c r="C62">
        <v>13</v>
      </c>
      <c r="E62" s="29" t="s">
        <v>1528</v>
      </c>
      <c r="F62" s="35">
        <f t="shared" si="1"/>
        <v>0.17391304347826086</v>
      </c>
    </row>
    <row r="63" spans="1:10">
      <c r="A63" t="s">
        <v>1528</v>
      </c>
      <c r="C63">
        <v>12</v>
      </c>
      <c r="E63" s="29" t="s">
        <v>1529</v>
      </c>
      <c r="F63" s="35">
        <f t="shared" si="1"/>
        <v>4.3478260869565216E-2</v>
      </c>
      <c r="H63" s="27" t="s">
        <v>1805</v>
      </c>
      <c r="I63" s="61">
        <v>3</v>
      </c>
      <c r="J63" s="47"/>
    </row>
    <row r="64" spans="1:10">
      <c r="A64" t="s">
        <v>1529</v>
      </c>
      <c r="C64">
        <v>3</v>
      </c>
      <c r="E64" s="29" t="s">
        <v>1530</v>
      </c>
      <c r="F64" s="35">
        <f t="shared" si="1"/>
        <v>0.14492753623188406</v>
      </c>
      <c r="H64" s="29" t="s">
        <v>1799</v>
      </c>
      <c r="I64">
        <v>1</v>
      </c>
      <c r="J64" s="35">
        <f t="shared" ref="J64:J69" si="2">I64/I$63</f>
        <v>0.33333333333333331</v>
      </c>
    </row>
    <row r="65" spans="1:10">
      <c r="A65" t="s">
        <v>1530</v>
      </c>
      <c r="C65">
        <v>10</v>
      </c>
      <c r="E65" s="29" t="s">
        <v>1531</v>
      </c>
      <c r="F65" s="35">
        <f t="shared" si="1"/>
        <v>2.8985507246376812E-2</v>
      </c>
      <c r="H65" s="29" t="s">
        <v>1800</v>
      </c>
      <c r="I65">
        <v>2</v>
      </c>
      <c r="J65" s="35">
        <f t="shared" si="2"/>
        <v>0.66666666666666663</v>
      </c>
    </row>
    <row r="66" spans="1:10">
      <c r="A66" t="s">
        <v>1531</v>
      </c>
      <c r="C66">
        <v>2</v>
      </c>
      <c r="E66" s="29" t="s">
        <v>1532</v>
      </c>
      <c r="F66" s="35">
        <f t="shared" si="1"/>
        <v>1.4492753623188406E-2</v>
      </c>
      <c r="H66" s="29" t="s">
        <v>1801</v>
      </c>
      <c r="I66">
        <v>0</v>
      </c>
      <c r="J66" s="35">
        <f t="shared" si="2"/>
        <v>0</v>
      </c>
    </row>
    <row r="67" spans="1:10">
      <c r="A67" t="s">
        <v>1532</v>
      </c>
      <c r="C67">
        <v>1</v>
      </c>
      <c r="E67" s="29" t="s">
        <v>1533</v>
      </c>
      <c r="F67" s="35">
        <f t="shared" si="1"/>
        <v>0</v>
      </c>
      <c r="H67" s="29" t="s">
        <v>1802</v>
      </c>
      <c r="I67">
        <v>0</v>
      </c>
      <c r="J67" s="35">
        <f t="shared" si="2"/>
        <v>0</v>
      </c>
    </row>
    <row r="68" spans="1:10">
      <c r="A68" t="s">
        <v>1533</v>
      </c>
      <c r="C68">
        <v>0</v>
      </c>
      <c r="E68" s="29" t="s">
        <v>1534</v>
      </c>
      <c r="F68" s="35">
        <f t="shared" si="1"/>
        <v>1.4492753623188406E-2</v>
      </c>
      <c r="H68" s="29" t="s">
        <v>1803</v>
      </c>
      <c r="I68">
        <v>0</v>
      </c>
      <c r="J68" s="35">
        <f t="shared" si="2"/>
        <v>0</v>
      </c>
    </row>
    <row r="69" spans="1:10" ht="16" thickBot="1">
      <c r="A69" t="s">
        <v>1534</v>
      </c>
      <c r="C69">
        <v>1</v>
      </c>
      <c r="E69" s="31" t="s">
        <v>1521</v>
      </c>
      <c r="F69" s="36">
        <f t="shared" si="1"/>
        <v>4.3478260869565216E-2</v>
      </c>
      <c r="H69" s="31" t="s">
        <v>1804</v>
      </c>
      <c r="I69" s="62">
        <v>0</v>
      </c>
      <c r="J69" s="36">
        <f t="shared" si="2"/>
        <v>0</v>
      </c>
    </row>
    <row r="70" spans="1:10" ht="16" thickBot="1">
      <c r="A70" t="s">
        <v>1521</v>
      </c>
      <c r="C70">
        <v>3</v>
      </c>
    </row>
    <row r="71" spans="1:10">
      <c r="A71" t="s">
        <v>1536</v>
      </c>
      <c r="C71">
        <f>SUM(C61:C70)</f>
        <v>69</v>
      </c>
      <c r="E71" s="27" t="s">
        <v>1550</v>
      </c>
      <c r="F71" s="28"/>
      <c r="H71" s="27" t="s">
        <v>1806</v>
      </c>
      <c r="I71" s="61">
        <v>0</v>
      </c>
      <c r="J71" s="47"/>
    </row>
    <row r="72" spans="1:10">
      <c r="E72" s="29" t="s">
        <v>1542</v>
      </c>
      <c r="F72" s="35">
        <f>C73/C$43</f>
        <v>0.70588235294117652</v>
      </c>
      <c r="G72" t="s">
        <v>1486</v>
      </c>
      <c r="H72" s="29" t="s">
        <v>1799</v>
      </c>
      <c r="I72">
        <v>0</v>
      </c>
      <c r="J72" s="35" t="e">
        <f t="shared" ref="J72:J77" si="3">I72/I$71</f>
        <v>#DIV/0!</v>
      </c>
    </row>
    <row r="73" spans="1:10">
      <c r="A73" t="s">
        <v>1537</v>
      </c>
      <c r="C73">
        <v>24</v>
      </c>
      <c r="E73" s="29" t="s">
        <v>1543</v>
      </c>
      <c r="F73" s="35">
        <f>C74/C$43</f>
        <v>2.9411764705882353E-2</v>
      </c>
      <c r="H73" s="29" t="s">
        <v>1800</v>
      </c>
      <c r="I73">
        <v>0</v>
      </c>
      <c r="J73" s="35" t="e">
        <f t="shared" si="3"/>
        <v>#DIV/0!</v>
      </c>
    </row>
    <row r="74" spans="1:10" ht="16" thickBot="1">
      <c r="A74" t="s">
        <v>1538</v>
      </c>
      <c r="C74">
        <v>1</v>
      </c>
      <c r="E74" s="31" t="s">
        <v>1544</v>
      </c>
      <c r="F74" s="36">
        <f>C75/C$43</f>
        <v>0.26470588235294118</v>
      </c>
      <c r="H74" s="29" t="s">
        <v>1801</v>
      </c>
      <c r="I74">
        <v>0</v>
      </c>
      <c r="J74" s="35" t="e">
        <f t="shared" si="3"/>
        <v>#DIV/0!</v>
      </c>
    </row>
    <row r="75" spans="1:10" ht="16" thickBot="1">
      <c r="A75" t="s">
        <v>1539</v>
      </c>
      <c r="C75">
        <v>9</v>
      </c>
      <c r="H75" s="29" t="s">
        <v>1802</v>
      </c>
      <c r="I75">
        <v>0</v>
      </c>
      <c r="J75" s="35" t="e">
        <f t="shared" si="3"/>
        <v>#DIV/0!</v>
      </c>
    </row>
    <row r="76" spans="1:10">
      <c r="E76" s="27" t="s">
        <v>1547</v>
      </c>
      <c r="F76" s="28"/>
      <c r="H76" s="29" t="s">
        <v>1803</v>
      </c>
      <c r="I76">
        <v>0</v>
      </c>
      <c r="J76" s="35" t="e">
        <f t="shared" si="3"/>
        <v>#DIV/0!</v>
      </c>
    </row>
    <row r="77" spans="1:10" ht="16" thickBot="1">
      <c r="A77" t="s">
        <v>1547</v>
      </c>
      <c r="E77" s="29" t="s">
        <v>1596</v>
      </c>
      <c r="F77" s="35">
        <f>C78/C$43</f>
        <v>0.91176470588235292</v>
      </c>
      <c r="H77" s="31" t="s">
        <v>1804</v>
      </c>
      <c r="I77" s="62">
        <v>0</v>
      </c>
      <c r="J77" s="36" t="e">
        <f t="shared" si="3"/>
        <v>#DIV/0!</v>
      </c>
    </row>
    <row r="78" spans="1:10" ht="16" thickBot="1">
      <c r="A78" t="s">
        <v>1568</v>
      </c>
      <c r="C78">
        <v>31</v>
      </c>
      <c r="E78" s="31" t="s">
        <v>1457</v>
      </c>
      <c r="F78" s="36">
        <f>C79/C$43</f>
        <v>8.8235294117647065E-2</v>
      </c>
      <c r="G78" t="s">
        <v>1486</v>
      </c>
    </row>
    <row r="79" spans="1:10" ht="16" thickBot="1">
      <c r="A79" t="s">
        <v>1457</v>
      </c>
      <c r="C79">
        <v>3</v>
      </c>
      <c r="F79" s="48"/>
    </row>
    <row r="80" spans="1:10">
      <c r="E80" s="27" t="s">
        <v>2429</v>
      </c>
      <c r="F80" s="47"/>
      <c r="H80" s="27" t="s">
        <v>1520</v>
      </c>
      <c r="I80" s="61">
        <v>11</v>
      </c>
      <c r="J80" s="47"/>
    </row>
    <row r="81" spans="1:10">
      <c r="A81" t="s">
        <v>2429</v>
      </c>
      <c r="E81" s="29" t="s">
        <v>2430</v>
      </c>
      <c r="F81" s="35">
        <f>C82/C$79</f>
        <v>1</v>
      </c>
      <c r="G81" t="s">
        <v>1486</v>
      </c>
      <c r="H81" s="29" t="s">
        <v>1808</v>
      </c>
      <c r="I81">
        <v>4</v>
      </c>
      <c r="J81" s="35">
        <f>I81/I$80</f>
        <v>0.36363636363636365</v>
      </c>
    </row>
    <row r="82" spans="1:10" ht="16" thickBot="1">
      <c r="A82" t="s">
        <v>2430</v>
      </c>
      <c r="C82">
        <v>3</v>
      </c>
      <c r="E82" s="31" t="s">
        <v>2431</v>
      </c>
      <c r="F82" s="36">
        <f>C83/C$79</f>
        <v>0</v>
      </c>
      <c r="H82" s="29" t="s">
        <v>1809</v>
      </c>
      <c r="I82">
        <v>3</v>
      </c>
      <c r="J82" s="35">
        <f>I82/I$80</f>
        <v>0.27272727272727271</v>
      </c>
    </row>
    <row r="83" spans="1:10" ht="16" thickBot="1">
      <c r="A83" t="s">
        <v>2431</v>
      </c>
      <c r="C83">
        <v>0</v>
      </c>
      <c r="H83" s="29" t="s">
        <v>1810</v>
      </c>
      <c r="I83">
        <v>1</v>
      </c>
      <c r="J83" s="35">
        <f>I83/I$80</f>
        <v>9.0909090909090912E-2</v>
      </c>
    </row>
    <row r="84" spans="1:10" ht="16" thickBot="1">
      <c r="C84" t="s">
        <v>1486</v>
      </c>
      <c r="E84" s="27" t="s">
        <v>1597</v>
      </c>
      <c r="F84" s="28"/>
      <c r="H84" s="31" t="s">
        <v>1811</v>
      </c>
      <c r="I84" s="62">
        <v>3</v>
      </c>
      <c r="J84" s="36">
        <f>I84/I$80</f>
        <v>0.27272727272727271</v>
      </c>
    </row>
    <row r="85" spans="1:10">
      <c r="A85" t="s">
        <v>1598</v>
      </c>
      <c r="E85" s="29" t="s">
        <v>1569</v>
      </c>
      <c r="F85" s="35">
        <f t="shared" ref="F85:F90" si="4">C86/C$43</f>
        <v>0.8529411764705882</v>
      </c>
    </row>
    <row r="86" spans="1:10" ht="16" thickBot="1">
      <c r="A86" t="s">
        <v>1569</v>
      </c>
      <c r="C86">
        <v>29</v>
      </c>
      <c r="E86" s="29" t="s">
        <v>1571</v>
      </c>
      <c r="F86" s="35">
        <f t="shared" si="4"/>
        <v>5.8823529411764705E-2</v>
      </c>
    </row>
    <row r="87" spans="1:10">
      <c r="A87" t="s">
        <v>1571</v>
      </c>
      <c r="C87">
        <v>2</v>
      </c>
      <c r="E87" s="29" t="s">
        <v>1572</v>
      </c>
      <c r="F87" s="35">
        <f t="shared" si="4"/>
        <v>0</v>
      </c>
      <c r="H87" s="27" t="s">
        <v>1574</v>
      </c>
      <c r="I87" s="61">
        <v>8</v>
      </c>
      <c r="J87" s="47"/>
    </row>
    <row r="88" spans="1:10">
      <c r="A88" t="s">
        <v>1572</v>
      </c>
      <c r="C88">
        <v>0</v>
      </c>
      <c r="E88" s="29" t="s">
        <v>1573</v>
      </c>
      <c r="F88" s="35">
        <f t="shared" si="4"/>
        <v>0</v>
      </c>
      <c r="H88" s="29" t="s">
        <v>1812</v>
      </c>
      <c r="I88">
        <v>2</v>
      </c>
      <c r="J88" s="35">
        <f>I88/I$87</f>
        <v>0.25</v>
      </c>
    </row>
    <row r="89" spans="1:10">
      <c r="A89" t="s">
        <v>1573</v>
      </c>
      <c r="C89">
        <v>0</v>
      </c>
      <c r="E89" s="29" t="s">
        <v>1570</v>
      </c>
      <c r="F89" s="35">
        <f t="shared" si="4"/>
        <v>8.8235294117647065E-2</v>
      </c>
      <c r="H89" s="29" t="s">
        <v>1813</v>
      </c>
      <c r="I89">
        <v>0</v>
      </c>
      <c r="J89" s="35">
        <f t="shared" ref="J89:J95" si="5">I89/I$87</f>
        <v>0</v>
      </c>
    </row>
    <row r="90" spans="1:10" ht="16" thickBot="1">
      <c r="A90" t="s">
        <v>1570</v>
      </c>
      <c r="C90">
        <v>3</v>
      </c>
      <c r="E90" s="31" t="s">
        <v>1574</v>
      </c>
      <c r="F90" s="36">
        <f t="shared" si="4"/>
        <v>2.9411764705882353E-2</v>
      </c>
      <c r="H90" s="29" t="s">
        <v>1814</v>
      </c>
      <c r="I90">
        <v>0</v>
      </c>
      <c r="J90" s="35">
        <f t="shared" si="5"/>
        <v>0</v>
      </c>
    </row>
    <row r="91" spans="1:10" ht="16" thickBot="1">
      <c r="A91" t="s">
        <v>1574</v>
      </c>
      <c r="C91">
        <v>1</v>
      </c>
      <c r="H91" s="29" t="s">
        <v>1716</v>
      </c>
      <c r="I91">
        <v>0</v>
      </c>
      <c r="J91" s="35">
        <f t="shared" si="5"/>
        <v>0</v>
      </c>
    </row>
    <row r="92" spans="1:10">
      <c r="E92" s="27" t="s">
        <v>1551</v>
      </c>
      <c r="F92" s="28"/>
      <c r="G92" t="s">
        <v>1486</v>
      </c>
      <c r="H92" s="29" t="s">
        <v>1815</v>
      </c>
      <c r="I92">
        <v>1</v>
      </c>
      <c r="J92" s="35">
        <f t="shared" si="5"/>
        <v>0.125</v>
      </c>
    </row>
    <row r="93" spans="1:10">
      <c r="A93" t="s">
        <v>1540</v>
      </c>
      <c r="C93">
        <v>4</v>
      </c>
      <c r="E93" s="29" t="s">
        <v>1506</v>
      </c>
      <c r="F93" s="35">
        <f t="shared" ref="F93:F98" si="6">C94/C$43</f>
        <v>0.52941176470588236</v>
      </c>
      <c r="H93" s="29" t="s">
        <v>1858</v>
      </c>
      <c r="I93">
        <v>3</v>
      </c>
      <c r="J93" s="35">
        <f t="shared" si="5"/>
        <v>0.375</v>
      </c>
    </row>
    <row r="94" spans="1:10">
      <c r="A94" t="s">
        <v>1506</v>
      </c>
      <c r="C94">
        <v>18</v>
      </c>
      <c r="E94" s="29" t="s">
        <v>1503</v>
      </c>
      <c r="F94" s="35">
        <f t="shared" si="6"/>
        <v>0.3235294117647059</v>
      </c>
      <c r="H94" s="29" t="s">
        <v>1820</v>
      </c>
      <c r="I94">
        <v>1</v>
      </c>
      <c r="J94" s="35">
        <f t="shared" si="5"/>
        <v>0.125</v>
      </c>
    </row>
    <row r="95" spans="1:10" ht="16" thickBot="1">
      <c r="A95" t="s">
        <v>1503</v>
      </c>
      <c r="C95">
        <v>11</v>
      </c>
      <c r="E95" s="29" t="s">
        <v>1502</v>
      </c>
      <c r="F95" s="35">
        <f t="shared" si="6"/>
        <v>5.8823529411764705E-2</v>
      </c>
      <c r="H95" s="31" t="s">
        <v>1859</v>
      </c>
      <c r="I95" s="62">
        <v>1</v>
      </c>
      <c r="J95" s="36">
        <f t="shared" si="5"/>
        <v>0.125</v>
      </c>
    </row>
    <row r="96" spans="1:10">
      <c r="A96" t="s">
        <v>1502</v>
      </c>
      <c r="C96">
        <v>2</v>
      </c>
      <c r="E96" s="29" t="s">
        <v>1507</v>
      </c>
      <c r="F96" s="35">
        <f t="shared" si="6"/>
        <v>8.8235294117647065E-2</v>
      </c>
    </row>
    <row r="97" spans="1:6">
      <c r="A97" t="s">
        <v>1507</v>
      </c>
      <c r="C97">
        <v>3</v>
      </c>
      <c r="E97" s="29" t="s">
        <v>1505</v>
      </c>
      <c r="F97" s="35">
        <f t="shared" si="6"/>
        <v>0</v>
      </c>
    </row>
    <row r="98" spans="1:6" ht="16" thickBot="1">
      <c r="A98" t="s">
        <v>1505</v>
      </c>
      <c r="C98">
        <v>0</v>
      </c>
      <c r="E98" s="31" t="s">
        <v>1504</v>
      </c>
      <c r="F98" s="36">
        <f t="shared" si="6"/>
        <v>0</v>
      </c>
    </row>
    <row r="99" spans="1:6">
      <c r="A99" t="s">
        <v>1504</v>
      </c>
      <c r="C99">
        <v>0</v>
      </c>
    </row>
  </sheetData>
  <mergeCells count="1">
    <mergeCell ref="A39:F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5"/>
  <sheetViews>
    <sheetView topLeftCell="A35" workbookViewId="0">
      <selection activeCell="I48" sqref="I48"/>
    </sheetView>
  </sheetViews>
  <sheetFormatPr baseColWidth="10" defaultRowHeight="15"/>
  <cols>
    <col min="2" max="2" width="34.6640625" customWidth="1"/>
    <col min="7" max="7" width="42.1640625" customWidth="1"/>
    <col min="8" max="8" width="45.6640625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44317</v>
      </c>
      <c r="B2" t="s">
        <v>205</v>
      </c>
      <c r="C2" t="s">
        <v>1506</v>
      </c>
      <c r="D2" t="s">
        <v>1509</v>
      </c>
      <c r="E2" t="s">
        <v>1455</v>
      </c>
      <c r="F2" s="8">
        <v>729.6</v>
      </c>
      <c r="G2" t="s">
        <v>1476</v>
      </c>
      <c r="H2" t="s">
        <v>1457</v>
      </c>
    </row>
    <row r="3" spans="1:8">
      <c r="A3" s="6">
        <v>44320</v>
      </c>
      <c r="B3" t="s">
        <v>74</v>
      </c>
      <c r="C3" t="s">
        <v>1503</v>
      </c>
      <c r="D3" t="s">
        <v>1509</v>
      </c>
      <c r="E3" t="s">
        <v>1455</v>
      </c>
      <c r="F3" s="8">
        <v>1638</v>
      </c>
      <c r="G3" t="s">
        <v>1466</v>
      </c>
      <c r="H3" t="s">
        <v>1457</v>
      </c>
    </row>
    <row r="4" spans="1:8">
      <c r="A4" s="6">
        <v>44322</v>
      </c>
      <c r="B4" t="s">
        <v>397</v>
      </c>
      <c r="C4" t="s">
        <v>1503</v>
      </c>
      <c r="D4" t="s">
        <v>1509</v>
      </c>
      <c r="E4" t="s">
        <v>18</v>
      </c>
      <c r="F4" s="8">
        <v>1520.76</v>
      </c>
      <c r="G4" t="s">
        <v>400</v>
      </c>
      <c r="H4" t="s">
        <v>1501</v>
      </c>
    </row>
    <row r="5" spans="1:8">
      <c r="A5" s="6">
        <v>44323</v>
      </c>
      <c r="B5" t="s">
        <v>406</v>
      </c>
      <c r="C5" t="s">
        <v>1506</v>
      </c>
      <c r="D5" t="s">
        <v>1509</v>
      </c>
      <c r="E5" t="s">
        <v>18</v>
      </c>
      <c r="F5" s="8">
        <v>1168.5</v>
      </c>
      <c r="G5" t="s">
        <v>409</v>
      </c>
      <c r="H5" t="s">
        <v>440</v>
      </c>
    </row>
    <row r="6" spans="1:8">
      <c r="A6" s="6">
        <v>44324</v>
      </c>
      <c r="B6" t="s">
        <v>411</v>
      </c>
      <c r="C6" t="s">
        <v>1505</v>
      </c>
      <c r="D6" t="s">
        <v>1509</v>
      </c>
      <c r="E6" t="s">
        <v>18</v>
      </c>
      <c r="F6" s="8">
        <v>1269.2</v>
      </c>
      <c r="G6" t="s">
        <v>414</v>
      </c>
      <c r="H6" t="s">
        <v>281</v>
      </c>
    </row>
    <row r="7" spans="1:8">
      <c r="A7" s="6">
        <v>44326</v>
      </c>
      <c r="B7" t="s">
        <v>417</v>
      </c>
      <c r="C7" t="s">
        <v>1503</v>
      </c>
      <c r="D7" t="s">
        <v>1509</v>
      </c>
      <c r="E7" t="s">
        <v>63</v>
      </c>
      <c r="F7" s="8">
        <v>1125</v>
      </c>
      <c r="G7" t="s">
        <v>420</v>
      </c>
      <c r="H7" t="s">
        <v>20</v>
      </c>
    </row>
    <row r="8" spans="1:8">
      <c r="A8" s="6">
        <v>44326</v>
      </c>
      <c r="B8" t="s">
        <v>423</v>
      </c>
      <c r="C8" t="s">
        <v>1503</v>
      </c>
      <c r="D8" t="s">
        <v>1509</v>
      </c>
      <c r="E8" t="s">
        <v>18</v>
      </c>
      <c r="F8" s="8">
        <v>1609.2</v>
      </c>
      <c r="G8" t="s">
        <v>426</v>
      </c>
      <c r="H8" t="s">
        <v>432</v>
      </c>
    </row>
    <row r="9" spans="1:8">
      <c r="A9" s="6">
        <v>44327</v>
      </c>
      <c r="B9" t="s">
        <v>428</v>
      </c>
      <c r="C9" t="s">
        <v>1507</v>
      </c>
      <c r="D9" t="s">
        <v>1509</v>
      </c>
      <c r="E9" t="s">
        <v>18</v>
      </c>
      <c r="F9" s="8">
        <v>669.75</v>
      </c>
      <c r="G9" t="s">
        <v>431</v>
      </c>
      <c r="H9" t="s">
        <v>439</v>
      </c>
    </row>
    <row r="10" spans="1:8">
      <c r="A10" s="6">
        <v>44328</v>
      </c>
      <c r="B10" t="s">
        <v>434</v>
      </c>
      <c r="C10" t="s">
        <v>1507</v>
      </c>
      <c r="D10" t="s">
        <v>1509</v>
      </c>
      <c r="E10" t="s">
        <v>18</v>
      </c>
      <c r="F10" s="8">
        <v>982.8</v>
      </c>
      <c r="G10" t="s">
        <v>437</v>
      </c>
      <c r="H10" t="s">
        <v>438</v>
      </c>
    </row>
    <row r="11" spans="1:8">
      <c r="A11" s="6">
        <v>44330</v>
      </c>
      <c r="B11" t="s">
        <v>442</v>
      </c>
      <c r="C11" t="s">
        <v>1505</v>
      </c>
      <c r="D11" t="s">
        <v>1509</v>
      </c>
      <c r="E11" t="s">
        <v>18</v>
      </c>
      <c r="F11" s="8">
        <v>1225.8</v>
      </c>
      <c r="G11" t="s">
        <v>445</v>
      </c>
      <c r="H11" t="s">
        <v>536</v>
      </c>
    </row>
    <row r="12" spans="1:8">
      <c r="A12" s="6">
        <v>44330</v>
      </c>
      <c r="B12" t="s">
        <v>205</v>
      </c>
      <c r="C12" t="s">
        <v>1506</v>
      </c>
      <c r="D12" t="s">
        <v>1509</v>
      </c>
      <c r="E12" t="s">
        <v>1455</v>
      </c>
      <c r="F12" s="8">
        <v>739.8</v>
      </c>
      <c r="G12" t="s">
        <v>950</v>
      </c>
      <c r="H12" t="s">
        <v>1457</v>
      </c>
    </row>
    <row r="13" spans="1:8" ht="15" customHeight="1">
      <c r="A13" s="6">
        <v>44331</v>
      </c>
      <c r="B13" t="s">
        <v>449</v>
      </c>
      <c r="C13" t="s">
        <v>1502</v>
      </c>
      <c r="D13" t="s">
        <v>1509</v>
      </c>
      <c r="E13" t="s">
        <v>18</v>
      </c>
      <c r="F13" s="8">
        <v>2466.9</v>
      </c>
      <c r="G13" t="s">
        <v>452</v>
      </c>
      <c r="H13" t="s">
        <v>453</v>
      </c>
    </row>
    <row r="14" spans="1:8">
      <c r="A14" s="6">
        <v>44322</v>
      </c>
      <c r="B14" t="s">
        <v>455</v>
      </c>
      <c r="C14" t="s">
        <v>1506</v>
      </c>
      <c r="D14" t="s">
        <v>1509</v>
      </c>
      <c r="E14" t="s">
        <v>18</v>
      </c>
      <c r="F14" s="8">
        <v>1118.3399999999999</v>
      </c>
      <c r="G14" t="s">
        <v>458</v>
      </c>
      <c r="H14" t="s">
        <v>403</v>
      </c>
    </row>
    <row r="15" spans="1:8">
      <c r="A15" s="6">
        <v>44329</v>
      </c>
      <c r="B15" t="s">
        <v>460</v>
      </c>
      <c r="C15" t="s">
        <v>1505</v>
      </c>
      <c r="D15" t="s">
        <v>1509</v>
      </c>
      <c r="E15" t="s">
        <v>18</v>
      </c>
      <c r="F15" s="8">
        <v>1234.6400000000001</v>
      </c>
      <c r="G15" t="s">
        <v>463</v>
      </c>
      <c r="H15" t="s">
        <v>403</v>
      </c>
    </row>
    <row r="16" spans="1:8">
      <c r="A16" s="6">
        <v>44329</v>
      </c>
      <c r="B16" t="s">
        <v>465</v>
      </c>
      <c r="C16" t="s">
        <v>1506</v>
      </c>
      <c r="D16" t="s">
        <v>1509</v>
      </c>
      <c r="E16" t="s">
        <v>18</v>
      </c>
      <c r="F16" s="8">
        <v>1556.7</v>
      </c>
      <c r="G16" t="s">
        <v>468</v>
      </c>
      <c r="H16" t="s">
        <v>469</v>
      </c>
    </row>
    <row r="17" spans="1:8" ht="15" customHeight="1">
      <c r="A17" s="6">
        <v>44333</v>
      </c>
      <c r="B17" t="s">
        <v>471</v>
      </c>
      <c r="C17" t="s">
        <v>1506</v>
      </c>
      <c r="D17" t="s">
        <v>1509</v>
      </c>
      <c r="E17" t="s">
        <v>18</v>
      </c>
      <c r="F17" s="8">
        <v>1355.46</v>
      </c>
      <c r="G17" t="s">
        <v>474</v>
      </c>
      <c r="H17" t="s">
        <v>475</v>
      </c>
    </row>
    <row r="18" spans="1:8">
      <c r="A18" s="6">
        <v>44319</v>
      </c>
      <c r="B18" t="s">
        <v>477</v>
      </c>
      <c r="C18" t="s">
        <v>1506</v>
      </c>
      <c r="D18" t="s">
        <v>1509</v>
      </c>
      <c r="E18" t="s">
        <v>18</v>
      </c>
      <c r="F18" s="8">
        <v>1204.2</v>
      </c>
      <c r="G18" t="s">
        <v>480</v>
      </c>
      <c r="H18" t="s">
        <v>323</v>
      </c>
    </row>
    <row r="19" spans="1:8">
      <c r="A19" s="6">
        <v>44324</v>
      </c>
      <c r="B19" t="s">
        <v>482</v>
      </c>
      <c r="C19" t="s">
        <v>1502</v>
      </c>
      <c r="D19" t="s">
        <v>1509</v>
      </c>
      <c r="E19" t="s">
        <v>18</v>
      </c>
      <c r="F19" s="8">
        <v>636.12</v>
      </c>
      <c r="G19" t="s">
        <v>1862</v>
      </c>
    </row>
    <row r="20" spans="1:8">
      <c r="A20" s="6">
        <v>44334</v>
      </c>
      <c r="B20" t="s">
        <v>487</v>
      </c>
      <c r="C20" t="s">
        <v>1503</v>
      </c>
      <c r="D20" t="s">
        <v>1509</v>
      </c>
      <c r="E20" t="s">
        <v>18</v>
      </c>
      <c r="F20" s="8">
        <v>2463.75</v>
      </c>
      <c r="G20" t="s">
        <v>489</v>
      </c>
    </row>
    <row r="21" spans="1:8">
      <c r="A21" s="6">
        <v>44334</v>
      </c>
      <c r="B21" t="s">
        <v>492</v>
      </c>
      <c r="C21" t="s">
        <v>1506</v>
      </c>
      <c r="D21" t="s">
        <v>1509</v>
      </c>
      <c r="E21" t="s">
        <v>18</v>
      </c>
      <c r="F21" s="8">
        <v>600</v>
      </c>
      <c r="G21" t="s">
        <v>495</v>
      </c>
    </row>
    <row r="22" spans="1:8">
      <c r="A22" s="6">
        <v>44335</v>
      </c>
      <c r="B22" t="s">
        <v>497</v>
      </c>
      <c r="C22" t="s">
        <v>1506</v>
      </c>
      <c r="D22" t="s">
        <v>1509</v>
      </c>
      <c r="E22" t="s">
        <v>18</v>
      </c>
      <c r="F22" s="8">
        <v>1065</v>
      </c>
      <c r="G22" t="s">
        <v>500</v>
      </c>
      <c r="H22" t="s">
        <v>323</v>
      </c>
    </row>
    <row r="23" spans="1:8">
      <c r="A23" s="6">
        <v>44335</v>
      </c>
      <c r="B23" t="s">
        <v>502</v>
      </c>
      <c r="C23" t="s">
        <v>1503</v>
      </c>
      <c r="D23" t="s">
        <v>1509</v>
      </c>
      <c r="E23" t="s">
        <v>18</v>
      </c>
      <c r="F23" s="8">
        <v>1200</v>
      </c>
      <c r="G23" t="s">
        <v>437</v>
      </c>
      <c r="H23" t="s">
        <v>490</v>
      </c>
    </row>
    <row r="24" spans="1:8">
      <c r="A24" s="6">
        <v>44320</v>
      </c>
      <c r="B24" t="s">
        <v>506</v>
      </c>
      <c r="C24" t="s">
        <v>1506</v>
      </c>
      <c r="D24" t="s">
        <v>1509</v>
      </c>
      <c r="E24" t="s">
        <v>18</v>
      </c>
      <c r="F24" s="8">
        <v>1488.62</v>
      </c>
      <c r="G24" t="s">
        <v>509</v>
      </c>
      <c r="H24" t="s">
        <v>537</v>
      </c>
    </row>
    <row r="25" spans="1:8">
      <c r="A25" s="6">
        <v>44333</v>
      </c>
      <c r="B25" t="s">
        <v>296</v>
      </c>
      <c r="C25" t="s">
        <v>1503</v>
      </c>
      <c r="D25" t="s">
        <v>1509</v>
      </c>
      <c r="E25" t="s">
        <v>1455</v>
      </c>
      <c r="F25" s="8">
        <v>912</v>
      </c>
      <c r="G25" t="s">
        <v>1479</v>
      </c>
      <c r="H25" t="s">
        <v>520</v>
      </c>
    </row>
    <row r="26" spans="1:8">
      <c r="A26" s="6">
        <v>44336</v>
      </c>
      <c r="B26" t="s">
        <v>511</v>
      </c>
      <c r="C26" t="s">
        <v>1506</v>
      </c>
      <c r="D26" t="s">
        <v>1509</v>
      </c>
      <c r="E26" t="s">
        <v>18</v>
      </c>
      <c r="F26" s="8">
        <v>1964.6</v>
      </c>
      <c r="G26" t="s">
        <v>514</v>
      </c>
      <c r="H26" t="s">
        <v>403</v>
      </c>
    </row>
    <row r="27" spans="1:8">
      <c r="A27" s="6">
        <v>44337</v>
      </c>
      <c r="B27" t="s">
        <v>515</v>
      </c>
      <c r="C27" t="s">
        <v>1503</v>
      </c>
      <c r="D27" t="s">
        <v>1510</v>
      </c>
      <c r="E27" t="s">
        <v>18</v>
      </c>
      <c r="F27" s="8">
        <v>3665.69</v>
      </c>
      <c r="G27" t="s">
        <v>518</v>
      </c>
      <c r="H27" t="s">
        <v>403</v>
      </c>
    </row>
    <row r="28" spans="1:8">
      <c r="A28" s="6">
        <v>44337</v>
      </c>
      <c r="B28" t="s">
        <v>521</v>
      </c>
      <c r="C28" t="s">
        <v>1506</v>
      </c>
      <c r="D28" t="s">
        <v>1510</v>
      </c>
      <c r="E28" t="s">
        <v>18</v>
      </c>
      <c r="F28" s="8">
        <v>1166.51</v>
      </c>
      <c r="G28" t="s">
        <v>524</v>
      </c>
      <c r="H28" t="s">
        <v>1457</v>
      </c>
    </row>
    <row r="29" spans="1:8">
      <c r="A29" s="6">
        <v>44338</v>
      </c>
      <c r="B29" t="s">
        <v>526</v>
      </c>
      <c r="C29" t="s">
        <v>1506</v>
      </c>
      <c r="D29" t="s">
        <v>1510</v>
      </c>
      <c r="E29" t="s">
        <v>18</v>
      </c>
      <c r="F29" s="8">
        <v>798.95</v>
      </c>
      <c r="G29" t="s">
        <v>1609</v>
      </c>
      <c r="H29" t="s">
        <v>403</v>
      </c>
    </row>
    <row r="30" spans="1:8">
      <c r="A30" s="6">
        <v>44340</v>
      </c>
      <c r="B30" t="s">
        <v>530</v>
      </c>
      <c r="C30" t="s">
        <v>1503</v>
      </c>
      <c r="D30" t="s">
        <v>1509</v>
      </c>
      <c r="E30" t="s">
        <v>18</v>
      </c>
      <c r="F30" s="8">
        <v>4332.24</v>
      </c>
      <c r="G30" t="s">
        <v>534</v>
      </c>
      <c r="H30" t="s">
        <v>519</v>
      </c>
    </row>
    <row r="31" spans="1:8">
      <c r="A31" s="6">
        <v>44340</v>
      </c>
      <c r="B31" t="s">
        <v>538</v>
      </c>
      <c r="C31" t="s">
        <v>1506</v>
      </c>
      <c r="D31" t="s">
        <v>1509</v>
      </c>
      <c r="E31" t="s">
        <v>18</v>
      </c>
      <c r="F31" s="8">
        <v>1328.4</v>
      </c>
      <c r="G31" t="s">
        <v>541</v>
      </c>
      <c r="H31" t="s">
        <v>535</v>
      </c>
    </row>
    <row r="32" spans="1:8">
      <c r="A32" s="6">
        <v>44341</v>
      </c>
      <c r="B32" t="s">
        <v>543</v>
      </c>
      <c r="C32" t="s">
        <v>1507</v>
      </c>
      <c r="D32" t="s">
        <v>1509</v>
      </c>
      <c r="E32" t="s">
        <v>18</v>
      </c>
      <c r="F32" s="8">
        <v>3479.4</v>
      </c>
      <c r="G32" t="s">
        <v>1608</v>
      </c>
      <c r="H32" t="s">
        <v>323</v>
      </c>
    </row>
    <row r="33" spans="1:10">
      <c r="A33" s="6">
        <v>44342</v>
      </c>
      <c r="B33" t="s">
        <v>550</v>
      </c>
      <c r="C33" t="s">
        <v>1502</v>
      </c>
      <c r="D33" t="s">
        <v>1509</v>
      </c>
      <c r="E33" t="s">
        <v>18</v>
      </c>
      <c r="F33" s="8">
        <v>1310</v>
      </c>
      <c r="G33" t="s">
        <v>553</v>
      </c>
      <c r="H33" t="s">
        <v>548</v>
      </c>
    </row>
    <row r="34" spans="1:10" ht="15.75" customHeight="1">
      <c r="A34" s="6">
        <v>44337</v>
      </c>
      <c r="B34" s="16" t="s">
        <v>556</v>
      </c>
      <c r="C34" t="s">
        <v>1503</v>
      </c>
      <c r="D34" t="s">
        <v>1510</v>
      </c>
      <c r="E34" t="s">
        <v>18</v>
      </c>
      <c r="F34" s="8">
        <v>1159.53</v>
      </c>
      <c r="G34" t="s">
        <v>559</v>
      </c>
      <c r="H34" t="s">
        <v>554</v>
      </c>
    </row>
    <row r="35" spans="1:10">
      <c r="A35" s="6">
        <v>44343</v>
      </c>
      <c r="B35" t="s">
        <v>562</v>
      </c>
      <c r="C35" t="s">
        <v>1502</v>
      </c>
      <c r="D35" t="s">
        <v>1509</v>
      </c>
      <c r="E35" t="s">
        <v>18</v>
      </c>
      <c r="F35" s="8">
        <v>919.6</v>
      </c>
      <c r="G35" t="s">
        <v>565</v>
      </c>
      <c r="H35" t="s">
        <v>547</v>
      </c>
    </row>
    <row r="36" spans="1:10">
      <c r="A36" s="6">
        <v>44343</v>
      </c>
      <c r="B36" t="s">
        <v>567</v>
      </c>
      <c r="C36" t="s">
        <v>1505</v>
      </c>
      <c r="D36" t="s">
        <v>1509</v>
      </c>
      <c r="E36" t="s">
        <v>18</v>
      </c>
      <c r="F36" s="8">
        <v>1324.3</v>
      </c>
      <c r="G36" t="s">
        <v>1610</v>
      </c>
      <c r="H36" t="s">
        <v>560</v>
      </c>
    </row>
    <row r="37" spans="1:10">
      <c r="A37" s="6">
        <v>44344</v>
      </c>
      <c r="B37" s="19" t="s">
        <v>572</v>
      </c>
      <c r="C37" t="s">
        <v>1506</v>
      </c>
      <c r="D37" t="s">
        <v>1510</v>
      </c>
      <c r="E37" t="s">
        <v>18</v>
      </c>
      <c r="F37" s="8">
        <v>1740</v>
      </c>
      <c r="G37" t="s">
        <v>575</v>
      </c>
      <c r="H37" t="s">
        <v>571</v>
      </c>
    </row>
    <row r="38" spans="1:10">
      <c r="A38" s="6">
        <v>44344</v>
      </c>
      <c r="B38" t="s">
        <v>578</v>
      </c>
      <c r="C38" t="s">
        <v>1503</v>
      </c>
      <c r="D38" t="s">
        <v>1509</v>
      </c>
      <c r="E38" t="s">
        <v>18</v>
      </c>
      <c r="F38" s="8">
        <v>1232</v>
      </c>
      <c r="G38" t="s">
        <v>581</v>
      </c>
      <c r="H38" t="s">
        <v>403</v>
      </c>
    </row>
    <row r="39" spans="1:10">
      <c r="A39" s="6">
        <v>44344</v>
      </c>
      <c r="B39" t="s">
        <v>584</v>
      </c>
      <c r="C39" t="s">
        <v>1506</v>
      </c>
      <c r="D39" t="s">
        <v>1509</v>
      </c>
      <c r="E39" t="s">
        <v>18</v>
      </c>
      <c r="F39" s="8">
        <v>810</v>
      </c>
      <c r="G39" t="s">
        <v>587</v>
      </c>
      <c r="H39" t="s">
        <v>593</v>
      </c>
    </row>
    <row r="40" spans="1:10">
      <c r="A40" s="6">
        <v>44345</v>
      </c>
      <c r="B40" s="13" t="s">
        <v>592</v>
      </c>
      <c r="C40" t="s">
        <v>1503</v>
      </c>
      <c r="D40" t="s">
        <v>1509</v>
      </c>
      <c r="E40" t="s">
        <v>18</v>
      </c>
      <c r="F40" s="8">
        <v>980.4</v>
      </c>
      <c r="G40" t="s">
        <v>322</v>
      </c>
      <c r="H40" t="s">
        <v>576</v>
      </c>
    </row>
    <row r="41" spans="1:10" ht="15" customHeight="1">
      <c r="A41" s="6">
        <v>44331</v>
      </c>
      <c r="B41" t="s">
        <v>595</v>
      </c>
      <c r="C41" t="s">
        <v>1506</v>
      </c>
      <c r="D41" t="s">
        <v>1509</v>
      </c>
      <c r="E41" t="s">
        <v>18</v>
      </c>
      <c r="F41" s="8">
        <v>1211.4000000000001</v>
      </c>
      <c r="G41" t="s">
        <v>598</v>
      </c>
      <c r="H41" t="s">
        <v>582</v>
      </c>
    </row>
    <row r="45" spans="1:10" ht="16" thickBot="1">
      <c r="A45" s="106" t="s">
        <v>1541</v>
      </c>
      <c r="B45" s="106"/>
      <c r="C45" s="106"/>
      <c r="D45" s="106"/>
      <c r="E45" s="106"/>
      <c r="F45" s="106"/>
    </row>
    <row r="46" spans="1:10">
      <c r="A46" t="s">
        <v>1513</v>
      </c>
      <c r="C46" s="8">
        <f>SUM(F2:F41)</f>
        <v>57403.159999999996</v>
      </c>
      <c r="E46" s="27" t="s">
        <v>1546</v>
      </c>
      <c r="F46" s="28"/>
      <c r="H46" s="27" t="s">
        <v>1515</v>
      </c>
      <c r="I46" s="61">
        <v>8</v>
      </c>
      <c r="J46" s="47"/>
    </row>
    <row r="47" spans="1:10">
      <c r="E47" s="29" t="s">
        <v>1552</v>
      </c>
      <c r="F47" s="50">
        <v>57403.159999999996</v>
      </c>
      <c r="H47" s="29" t="s">
        <v>1768</v>
      </c>
      <c r="I47">
        <v>0</v>
      </c>
      <c r="J47" s="35">
        <f>I47/I$46</f>
        <v>0</v>
      </c>
    </row>
    <row r="48" spans="1:10" ht="16" thickBot="1">
      <c r="A48" t="s">
        <v>1545</v>
      </c>
      <c r="C48">
        <v>24</v>
      </c>
      <c r="E48" s="31" t="s">
        <v>1553</v>
      </c>
      <c r="F48" s="42">
        <f>C46/C48</f>
        <v>2391.7983333333332</v>
      </c>
      <c r="H48" s="29" t="s">
        <v>1769</v>
      </c>
      <c r="I48">
        <v>8</v>
      </c>
      <c r="J48" s="35">
        <f>I48/I$46</f>
        <v>1</v>
      </c>
    </row>
    <row r="49" spans="1:10" ht="16" thickBot="1">
      <c r="A49" t="s">
        <v>1758</v>
      </c>
      <c r="C49">
        <v>40</v>
      </c>
      <c r="H49" s="31" t="s">
        <v>1770</v>
      </c>
      <c r="I49" s="62">
        <v>0</v>
      </c>
      <c r="J49" s="36">
        <f>I49/I$46</f>
        <v>0</v>
      </c>
    </row>
    <row r="50" spans="1:10">
      <c r="D50" t="s">
        <v>1486</v>
      </c>
      <c r="E50" s="27" t="s">
        <v>1547</v>
      </c>
      <c r="F50" s="28"/>
    </row>
    <row r="51" spans="1:10" ht="16" thickBot="1">
      <c r="A51" t="s">
        <v>1511</v>
      </c>
      <c r="C51">
        <v>35</v>
      </c>
      <c r="D51" t="s">
        <v>1486</v>
      </c>
      <c r="E51" s="29" t="s">
        <v>1509</v>
      </c>
      <c r="F51" s="35">
        <f>C51/C$49</f>
        <v>0.875</v>
      </c>
      <c r="G51" t="s">
        <v>1486</v>
      </c>
    </row>
    <row r="52" spans="1:10" ht="16" thickBot="1">
      <c r="A52" t="s">
        <v>1512</v>
      </c>
      <c r="C52">
        <v>5</v>
      </c>
      <c r="E52" s="31" t="s">
        <v>1510</v>
      </c>
      <c r="F52" s="36">
        <f>C52/C$49</f>
        <v>0.125</v>
      </c>
      <c r="H52" s="27" t="s">
        <v>1807</v>
      </c>
      <c r="I52" s="61">
        <v>20</v>
      </c>
      <c r="J52" s="47"/>
    </row>
    <row r="53" spans="1:10" ht="16" thickBot="1">
      <c r="H53" s="29" t="s">
        <v>1771</v>
      </c>
      <c r="I53">
        <v>13</v>
      </c>
      <c r="J53" s="35">
        <f>I53/I$52</f>
        <v>0.65</v>
      </c>
    </row>
    <row r="54" spans="1:10">
      <c r="A54" t="s">
        <v>1524</v>
      </c>
      <c r="E54" s="27" t="s">
        <v>1548</v>
      </c>
      <c r="F54" s="28"/>
      <c r="H54" s="29" t="s">
        <v>1772</v>
      </c>
      <c r="I54">
        <v>7</v>
      </c>
      <c r="J54" s="35">
        <f>I54/I$52</f>
        <v>0.35</v>
      </c>
    </row>
    <row r="55" spans="1:10">
      <c r="A55" t="s">
        <v>1514</v>
      </c>
      <c r="C55">
        <v>4</v>
      </c>
      <c r="E55" s="29" t="s">
        <v>1514</v>
      </c>
      <c r="F55" s="35">
        <f>C55/C$64</f>
        <v>6.25E-2</v>
      </c>
      <c r="H55" s="29" t="s">
        <v>1773</v>
      </c>
      <c r="I55">
        <v>0</v>
      </c>
      <c r="J55" s="35">
        <f>I55/I$52</f>
        <v>0</v>
      </c>
    </row>
    <row r="56" spans="1:10">
      <c r="A56" t="s">
        <v>1515</v>
      </c>
      <c r="C56">
        <v>8</v>
      </c>
      <c r="E56" s="29" t="s">
        <v>1515</v>
      </c>
      <c r="F56" s="35">
        <f t="shared" ref="F56:F63" si="0">C56/C$64</f>
        <v>0.125</v>
      </c>
      <c r="G56" t="s">
        <v>1486</v>
      </c>
      <c r="H56" s="29"/>
      <c r="J56" s="35"/>
    </row>
    <row r="57" spans="1:10">
      <c r="A57" t="s">
        <v>1516</v>
      </c>
      <c r="C57">
        <v>20</v>
      </c>
      <c r="E57" s="29" t="s">
        <v>1516</v>
      </c>
      <c r="F57" s="35">
        <f t="shared" si="0"/>
        <v>0.3125</v>
      </c>
      <c r="H57" s="29" t="s">
        <v>1860</v>
      </c>
      <c r="I57">
        <v>0</v>
      </c>
      <c r="J57" s="35">
        <f t="shared" ref="J57:J64" si="1">I57/I$52</f>
        <v>0</v>
      </c>
    </row>
    <row r="58" spans="1:10">
      <c r="A58" t="s">
        <v>1517</v>
      </c>
      <c r="C58">
        <v>0</v>
      </c>
      <c r="E58" s="29" t="s">
        <v>1517</v>
      </c>
      <c r="F58" s="35">
        <f t="shared" si="0"/>
        <v>0</v>
      </c>
      <c r="H58" s="29" t="s">
        <v>1819</v>
      </c>
      <c r="I58">
        <v>1</v>
      </c>
      <c r="J58" s="35">
        <f t="shared" si="1"/>
        <v>0.05</v>
      </c>
    </row>
    <row r="59" spans="1:10">
      <c r="A59" t="s">
        <v>1518</v>
      </c>
      <c r="C59">
        <v>8</v>
      </c>
      <c r="E59" s="29" t="s">
        <v>1518</v>
      </c>
      <c r="F59" s="35">
        <f t="shared" si="0"/>
        <v>0.125</v>
      </c>
      <c r="H59" s="29" t="s">
        <v>1774</v>
      </c>
      <c r="I59">
        <v>2</v>
      </c>
      <c r="J59" s="35">
        <f t="shared" si="1"/>
        <v>0.1</v>
      </c>
    </row>
    <row r="60" spans="1:10">
      <c r="A60" t="s">
        <v>1519</v>
      </c>
      <c r="C60">
        <v>2</v>
      </c>
      <c r="E60" s="29" t="s">
        <v>1519</v>
      </c>
      <c r="F60" s="35">
        <f t="shared" si="0"/>
        <v>3.125E-2</v>
      </c>
      <c r="H60" s="29" t="s">
        <v>1775</v>
      </c>
      <c r="I60">
        <v>4</v>
      </c>
      <c r="J60" s="35">
        <f t="shared" si="1"/>
        <v>0.2</v>
      </c>
    </row>
    <row r="61" spans="1:10">
      <c r="A61" t="s">
        <v>1520</v>
      </c>
      <c r="C61">
        <v>15</v>
      </c>
      <c r="E61" s="29" t="s">
        <v>1520</v>
      </c>
      <c r="F61" s="35">
        <f t="shared" si="0"/>
        <v>0.234375</v>
      </c>
      <c r="H61" s="29" t="s">
        <v>1776</v>
      </c>
      <c r="I61">
        <v>3</v>
      </c>
      <c r="J61" s="35">
        <f t="shared" si="1"/>
        <v>0.15</v>
      </c>
    </row>
    <row r="62" spans="1:10">
      <c r="A62" t="s">
        <v>1522</v>
      </c>
      <c r="C62">
        <v>3</v>
      </c>
      <c r="E62" s="29" t="s">
        <v>1522</v>
      </c>
      <c r="F62" s="35">
        <f t="shared" si="0"/>
        <v>4.6875E-2</v>
      </c>
      <c r="H62" s="29" t="s">
        <v>1777</v>
      </c>
      <c r="I62">
        <v>8</v>
      </c>
      <c r="J62" s="35">
        <f t="shared" si="1"/>
        <v>0.4</v>
      </c>
    </row>
    <row r="63" spans="1:10" ht="16" thickBot="1">
      <c r="A63" t="s">
        <v>1574</v>
      </c>
      <c r="C63">
        <v>4</v>
      </c>
      <c r="E63" s="31" t="s">
        <v>1574</v>
      </c>
      <c r="F63" s="36">
        <f t="shared" si="0"/>
        <v>6.25E-2</v>
      </c>
      <c r="H63" s="29" t="s">
        <v>1817</v>
      </c>
      <c r="I63">
        <v>1</v>
      </c>
      <c r="J63" s="35">
        <f t="shared" si="1"/>
        <v>0.05</v>
      </c>
    </row>
    <row r="64" spans="1:10" ht="16" thickBot="1">
      <c r="A64" t="s">
        <v>1523</v>
      </c>
      <c r="C64">
        <f>SUM(C55:C63)</f>
        <v>64</v>
      </c>
      <c r="H64" s="31" t="s">
        <v>1861</v>
      </c>
      <c r="I64" s="62">
        <v>1</v>
      </c>
      <c r="J64" s="36">
        <f t="shared" si="1"/>
        <v>0.05</v>
      </c>
    </row>
    <row r="65" spans="1:10">
      <c r="E65" s="27" t="s">
        <v>1549</v>
      </c>
      <c r="F65" s="28"/>
    </row>
    <row r="66" spans="1:10" ht="16" thickBot="1">
      <c r="A66" t="s">
        <v>1525</v>
      </c>
      <c r="E66" s="29" t="s">
        <v>1526</v>
      </c>
      <c r="F66" s="35">
        <f>C67/C$77</f>
        <v>0.33333333333333331</v>
      </c>
    </row>
    <row r="67" spans="1:10">
      <c r="A67" t="s">
        <v>1526</v>
      </c>
      <c r="C67">
        <v>24</v>
      </c>
      <c r="E67" s="29" t="s">
        <v>1527</v>
      </c>
      <c r="F67" s="35">
        <f t="shared" ref="F67:F75" si="2">C68/C$77</f>
        <v>0.27777777777777779</v>
      </c>
      <c r="G67" t="s">
        <v>1486</v>
      </c>
      <c r="H67" s="27" t="s">
        <v>1518</v>
      </c>
      <c r="I67" s="61">
        <v>7</v>
      </c>
      <c r="J67" s="47" t="s">
        <v>1486</v>
      </c>
    </row>
    <row r="68" spans="1:10">
      <c r="A68" t="s">
        <v>1527</v>
      </c>
      <c r="C68">
        <v>20</v>
      </c>
      <c r="E68" s="29" t="s">
        <v>1528</v>
      </c>
      <c r="F68" s="35">
        <f t="shared" si="2"/>
        <v>9.7222222222222224E-2</v>
      </c>
      <c r="H68" s="29" t="s">
        <v>1797</v>
      </c>
      <c r="I68">
        <v>2</v>
      </c>
      <c r="J68" s="35">
        <f>I68/I$67</f>
        <v>0.2857142857142857</v>
      </c>
    </row>
    <row r="69" spans="1:10" ht="16" thickBot="1">
      <c r="A69" t="s">
        <v>1528</v>
      </c>
      <c r="C69">
        <v>7</v>
      </c>
      <c r="E69" s="29" t="s">
        <v>1529</v>
      </c>
      <c r="F69" s="35">
        <f t="shared" si="2"/>
        <v>0.1388888888888889</v>
      </c>
      <c r="H69" s="31" t="s">
        <v>1798</v>
      </c>
      <c r="I69" s="62">
        <v>6</v>
      </c>
      <c r="J69" s="36">
        <f>I69/I$67</f>
        <v>0.8571428571428571</v>
      </c>
    </row>
    <row r="70" spans="1:10">
      <c r="A70" t="s">
        <v>1529</v>
      </c>
      <c r="C70">
        <v>10</v>
      </c>
      <c r="E70" s="29" t="s">
        <v>1530</v>
      </c>
      <c r="F70" s="35">
        <f t="shared" si="2"/>
        <v>2.7777777777777776E-2</v>
      </c>
    </row>
    <row r="71" spans="1:10" ht="16" thickBot="1">
      <c r="A71" t="s">
        <v>1530</v>
      </c>
      <c r="C71">
        <v>2</v>
      </c>
      <c r="E71" s="29" t="s">
        <v>1531</v>
      </c>
      <c r="F71" s="35">
        <f t="shared" si="2"/>
        <v>1.3888888888888888E-2</v>
      </c>
    </row>
    <row r="72" spans="1:10">
      <c r="A72" t="s">
        <v>1531</v>
      </c>
      <c r="C72">
        <v>1</v>
      </c>
      <c r="E72" s="29" t="s">
        <v>1532</v>
      </c>
      <c r="F72" s="35">
        <f t="shared" si="2"/>
        <v>0</v>
      </c>
      <c r="H72" s="27" t="s">
        <v>1805</v>
      </c>
      <c r="I72" s="61">
        <v>2</v>
      </c>
      <c r="J72" s="47"/>
    </row>
    <row r="73" spans="1:10">
      <c r="A73" t="s">
        <v>1532</v>
      </c>
      <c r="C73">
        <v>0</v>
      </c>
      <c r="E73" s="29" t="s">
        <v>1533</v>
      </c>
      <c r="F73" s="35">
        <f t="shared" si="2"/>
        <v>0</v>
      </c>
      <c r="H73" s="29" t="s">
        <v>1799</v>
      </c>
      <c r="I73">
        <v>0</v>
      </c>
      <c r="J73" s="35">
        <f t="shared" ref="J73:J78" si="3">I73/I$72</f>
        <v>0</v>
      </c>
    </row>
    <row r="74" spans="1:10">
      <c r="A74" t="s">
        <v>1533</v>
      </c>
      <c r="C74">
        <v>0</v>
      </c>
      <c r="E74" s="29" t="s">
        <v>1534</v>
      </c>
      <c r="F74" s="35">
        <f t="shared" si="2"/>
        <v>0</v>
      </c>
      <c r="H74" s="29" t="s">
        <v>1800</v>
      </c>
      <c r="I74">
        <v>1</v>
      </c>
      <c r="J74" s="35">
        <f t="shared" si="3"/>
        <v>0.5</v>
      </c>
    </row>
    <row r="75" spans="1:10" ht="16" thickBot="1">
      <c r="A75" t="s">
        <v>1534</v>
      </c>
      <c r="C75">
        <v>0</v>
      </c>
      <c r="E75" s="31" t="s">
        <v>1521</v>
      </c>
      <c r="F75" s="36">
        <f t="shared" si="2"/>
        <v>0.1111111111111111</v>
      </c>
      <c r="H75" s="29" t="s">
        <v>1801</v>
      </c>
      <c r="I75">
        <v>0</v>
      </c>
      <c r="J75" s="35">
        <f t="shared" si="3"/>
        <v>0</v>
      </c>
    </row>
    <row r="76" spans="1:10" ht="16" thickBot="1">
      <c r="A76" t="s">
        <v>1521</v>
      </c>
      <c r="C76">
        <v>8</v>
      </c>
      <c r="H76" s="29" t="s">
        <v>1802</v>
      </c>
      <c r="I76">
        <v>0</v>
      </c>
      <c r="J76" s="35">
        <f t="shared" si="3"/>
        <v>0</v>
      </c>
    </row>
    <row r="77" spans="1:10">
      <c r="A77" t="s">
        <v>1536</v>
      </c>
      <c r="C77">
        <f>SUM(C67:C76)</f>
        <v>72</v>
      </c>
      <c r="E77" s="27" t="s">
        <v>1550</v>
      </c>
      <c r="F77" s="28"/>
      <c r="H77" s="29" t="s">
        <v>1803</v>
      </c>
      <c r="I77">
        <v>0</v>
      </c>
      <c r="J77" s="35">
        <f t="shared" si="3"/>
        <v>0</v>
      </c>
    </row>
    <row r="78" spans="1:10" ht="16" thickBot="1">
      <c r="E78" s="29" t="s">
        <v>1542</v>
      </c>
      <c r="F78" s="35">
        <f>C79/C$49</f>
        <v>0.57499999999999996</v>
      </c>
      <c r="H78" s="31" t="s">
        <v>1804</v>
      </c>
      <c r="I78" s="62">
        <v>1</v>
      </c>
      <c r="J78" s="36">
        <f t="shared" si="3"/>
        <v>0.5</v>
      </c>
    </row>
    <row r="79" spans="1:10" ht="16" thickBot="1">
      <c r="A79" t="s">
        <v>1537</v>
      </c>
      <c r="C79">
        <v>23</v>
      </c>
      <c r="E79" s="29" t="s">
        <v>1543</v>
      </c>
      <c r="F79" s="35">
        <f>C80/C$49</f>
        <v>7.4999999999999997E-2</v>
      </c>
      <c r="G79" t="s">
        <v>1486</v>
      </c>
    </row>
    <row r="80" spans="1:10" ht="16" thickBot="1">
      <c r="A80" t="s">
        <v>1538</v>
      </c>
      <c r="C80">
        <v>3</v>
      </c>
      <c r="E80" s="31" t="s">
        <v>1544</v>
      </c>
      <c r="F80" s="36">
        <f>C81/C$49</f>
        <v>0.35</v>
      </c>
      <c r="H80" s="27" t="s">
        <v>1806</v>
      </c>
      <c r="I80" s="61">
        <v>0</v>
      </c>
      <c r="J80" s="47"/>
    </row>
    <row r="81" spans="1:10" ht="16" thickBot="1">
      <c r="A81" t="s">
        <v>1539</v>
      </c>
      <c r="C81">
        <v>14</v>
      </c>
      <c r="H81" s="29" t="s">
        <v>1799</v>
      </c>
      <c r="I81">
        <v>0</v>
      </c>
      <c r="J81" s="35" t="e">
        <f t="shared" ref="J81:J86" si="4">I81/I$80</f>
        <v>#DIV/0!</v>
      </c>
    </row>
    <row r="82" spans="1:10">
      <c r="E82" s="27" t="s">
        <v>1547</v>
      </c>
      <c r="F82" s="28"/>
      <c r="H82" s="29" t="s">
        <v>1800</v>
      </c>
      <c r="I82">
        <v>0</v>
      </c>
      <c r="J82" s="35" t="e">
        <f t="shared" si="4"/>
        <v>#DIV/0!</v>
      </c>
    </row>
    <row r="83" spans="1:10">
      <c r="A83" t="s">
        <v>1547</v>
      </c>
      <c r="E83" s="29" t="s">
        <v>1596</v>
      </c>
      <c r="F83" s="35">
        <f>C84/C$49</f>
        <v>0.9</v>
      </c>
      <c r="H83" s="29" t="s">
        <v>1801</v>
      </c>
      <c r="I83">
        <v>0</v>
      </c>
      <c r="J83" s="35" t="e">
        <f t="shared" si="4"/>
        <v>#DIV/0!</v>
      </c>
    </row>
    <row r="84" spans="1:10" ht="16" thickBot="1">
      <c r="A84" t="s">
        <v>1568</v>
      </c>
      <c r="C84">
        <v>36</v>
      </c>
      <c r="E84" s="31" t="s">
        <v>1457</v>
      </c>
      <c r="F84" s="36">
        <f>C85/C$49</f>
        <v>0.1</v>
      </c>
      <c r="G84" t="s">
        <v>1486</v>
      </c>
      <c r="H84" s="29" t="s">
        <v>1802</v>
      </c>
      <c r="I84">
        <v>0</v>
      </c>
      <c r="J84" s="35" t="e">
        <f t="shared" si="4"/>
        <v>#DIV/0!</v>
      </c>
    </row>
    <row r="85" spans="1:10" ht="16" thickBot="1">
      <c r="A85" t="s">
        <v>1457</v>
      </c>
      <c r="C85">
        <v>4</v>
      </c>
      <c r="F85" s="48"/>
      <c r="H85" s="29" t="s">
        <v>1803</v>
      </c>
      <c r="I85">
        <v>0</v>
      </c>
      <c r="J85" s="35" t="e">
        <f t="shared" si="4"/>
        <v>#DIV/0!</v>
      </c>
    </row>
    <row r="86" spans="1:10" ht="16" thickBot="1">
      <c r="E86" s="27" t="s">
        <v>2429</v>
      </c>
      <c r="F86" s="47"/>
      <c r="H86" s="31" t="s">
        <v>1804</v>
      </c>
      <c r="I86" s="62">
        <v>0</v>
      </c>
      <c r="J86" s="36" t="e">
        <f t="shared" si="4"/>
        <v>#DIV/0!</v>
      </c>
    </row>
    <row r="87" spans="1:10">
      <c r="A87" t="s">
        <v>2429</v>
      </c>
      <c r="E87" s="29" t="s">
        <v>2430</v>
      </c>
      <c r="F87" s="35">
        <f>C88/C$85</f>
        <v>1</v>
      </c>
    </row>
    <row r="88" spans="1:10" ht="16" thickBot="1">
      <c r="A88" t="s">
        <v>2430</v>
      </c>
      <c r="C88">
        <v>4</v>
      </c>
      <c r="E88" s="31" t="s">
        <v>2431</v>
      </c>
      <c r="F88" s="36">
        <f>C89/C$85</f>
        <v>0</v>
      </c>
    </row>
    <row r="89" spans="1:10" ht="16" thickBot="1">
      <c r="A89" t="s">
        <v>2431</v>
      </c>
      <c r="C89">
        <v>0</v>
      </c>
      <c r="H89" s="27" t="s">
        <v>1520</v>
      </c>
      <c r="I89" s="61">
        <v>15</v>
      </c>
      <c r="J89" s="47"/>
    </row>
    <row r="90" spans="1:10">
      <c r="C90" t="s">
        <v>1486</v>
      </c>
      <c r="E90" s="27" t="s">
        <v>1597</v>
      </c>
      <c r="F90" s="28"/>
      <c r="G90" t="s">
        <v>1486</v>
      </c>
      <c r="H90" s="29" t="s">
        <v>1808</v>
      </c>
      <c r="I90">
        <v>4</v>
      </c>
      <c r="J90" s="35">
        <f>I90/I$89</f>
        <v>0.26666666666666666</v>
      </c>
    </row>
    <row r="91" spans="1:10">
      <c r="A91" t="s">
        <v>1598</v>
      </c>
      <c r="E91" s="29" t="s">
        <v>1569</v>
      </c>
      <c r="F91" s="35">
        <f t="shared" ref="F91:F96" si="5">C92/C$49</f>
        <v>0.875</v>
      </c>
      <c r="H91" s="29" t="s">
        <v>1809</v>
      </c>
      <c r="I91">
        <v>6</v>
      </c>
      <c r="J91" s="35">
        <f>I91/I$89</f>
        <v>0.4</v>
      </c>
    </row>
    <row r="92" spans="1:10">
      <c r="A92" t="s">
        <v>1569</v>
      </c>
      <c r="C92">
        <v>35</v>
      </c>
      <c r="E92" s="29" t="s">
        <v>1571</v>
      </c>
      <c r="F92" s="35">
        <f t="shared" si="5"/>
        <v>2.5000000000000001E-2</v>
      </c>
      <c r="H92" s="29" t="s">
        <v>1810</v>
      </c>
      <c r="I92">
        <v>2</v>
      </c>
      <c r="J92" s="35">
        <f>I92/I$89</f>
        <v>0.13333333333333333</v>
      </c>
    </row>
    <row r="93" spans="1:10" ht="16" thickBot="1">
      <c r="A93" t="s">
        <v>1571</v>
      </c>
      <c r="C93">
        <v>1</v>
      </c>
      <c r="E93" s="29" t="s">
        <v>1572</v>
      </c>
      <c r="F93" s="35">
        <f t="shared" si="5"/>
        <v>0</v>
      </c>
      <c r="H93" s="31" t="s">
        <v>1811</v>
      </c>
      <c r="I93" s="62">
        <v>3</v>
      </c>
      <c r="J93" s="36">
        <f>I93/I$89</f>
        <v>0.2</v>
      </c>
    </row>
    <row r="94" spans="1:10">
      <c r="A94" t="s">
        <v>1572</v>
      </c>
      <c r="C94">
        <v>0</v>
      </c>
      <c r="E94" s="29" t="s">
        <v>1573</v>
      </c>
      <c r="F94" s="35">
        <f t="shared" si="5"/>
        <v>0</v>
      </c>
    </row>
    <row r="95" spans="1:10" ht="16" thickBot="1">
      <c r="A95" t="s">
        <v>1573</v>
      </c>
      <c r="C95">
        <v>0</v>
      </c>
      <c r="E95" s="29" t="s">
        <v>1570</v>
      </c>
      <c r="F95" s="35">
        <f t="shared" si="5"/>
        <v>0.1</v>
      </c>
    </row>
    <row r="96" spans="1:10" ht="16" thickBot="1">
      <c r="A96" t="s">
        <v>1570</v>
      </c>
      <c r="C96">
        <v>4</v>
      </c>
      <c r="E96" s="31" t="s">
        <v>1574</v>
      </c>
      <c r="F96" s="36">
        <f t="shared" si="5"/>
        <v>2.5000000000000001E-2</v>
      </c>
      <c r="G96" t="s">
        <v>1486</v>
      </c>
      <c r="H96" s="27" t="s">
        <v>1574</v>
      </c>
      <c r="I96" s="61">
        <v>4</v>
      </c>
      <c r="J96" s="47"/>
    </row>
    <row r="97" spans="1:10" ht="16" thickBot="1">
      <c r="A97" t="s">
        <v>1574</v>
      </c>
      <c r="C97">
        <v>1</v>
      </c>
      <c r="H97" s="29" t="s">
        <v>1812</v>
      </c>
      <c r="I97">
        <v>0</v>
      </c>
      <c r="J97" s="35">
        <f>I97/I$96</f>
        <v>0</v>
      </c>
    </row>
    <row r="98" spans="1:10">
      <c r="E98" s="27" t="s">
        <v>1551</v>
      </c>
      <c r="F98" s="28"/>
      <c r="H98" s="29" t="s">
        <v>1813</v>
      </c>
      <c r="I98">
        <v>0</v>
      </c>
      <c r="J98" s="35">
        <f t="shared" ref="J98:J103" si="6">I98/I$96</f>
        <v>0</v>
      </c>
    </row>
    <row r="99" spans="1:10">
      <c r="A99" t="s">
        <v>1540</v>
      </c>
      <c r="C99">
        <v>5</v>
      </c>
      <c r="E99" s="29" t="s">
        <v>1506</v>
      </c>
      <c r="F99" s="35">
        <f t="shared" ref="F99:F104" si="7">C100/C$49</f>
        <v>0.42499999999999999</v>
      </c>
      <c r="H99" s="29" t="s">
        <v>1814</v>
      </c>
      <c r="I99">
        <v>1</v>
      </c>
      <c r="J99" s="35">
        <f t="shared" si="6"/>
        <v>0.25</v>
      </c>
    </row>
    <row r="100" spans="1:10">
      <c r="A100" t="s">
        <v>1506</v>
      </c>
      <c r="C100">
        <v>17</v>
      </c>
      <c r="E100" s="29" t="s">
        <v>1503</v>
      </c>
      <c r="F100" s="35">
        <f t="shared" si="7"/>
        <v>0.3</v>
      </c>
      <c r="H100" s="29" t="s">
        <v>1716</v>
      </c>
      <c r="I100">
        <v>0</v>
      </c>
      <c r="J100" s="35">
        <f t="shared" si="6"/>
        <v>0</v>
      </c>
    </row>
    <row r="101" spans="1:10">
      <c r="A101" t="s">
        <v>1503</v>
      </c>
      <c r="C101">
        <v>12</v>
      </c>
      <c r="E101" s="29" t="s">
        <v>1502</v>
      </c>
      <c r="F101" s="35">
        <f t="shared" si="7"/>
        <v>0.1</v>
      </c>
      <c r="H101" s="29" t="s">
        <v>1815</v>
      </c>
      <c r="I101">
        <v>2</v>
      </c>
      <c r="J101" s="35">
        <f t="shared" si="6"/>
        <v>0.5</v>
      </c>
    </row>
    <row r="102" spans="1:10">
      <c r="A102" t="s">
        <v>1502</v>
      </c>
      <c r="C102">
        <v>4</v>
      </c>
      <c r="E102" s="29" t="s">
        <v>1507</v>
      </c>
      <c r="F102" s="35">
        <f t="shared" si="7"/>
        <v>7.4999999999999997E-2</v>
      </c>
      <c r="H102" s="29" t="s">
        <v>1820</v>
      </c>
      <c r="I102">
        <v>1</v>
      </c>
      <c r="J102" s="35">
        <f t="shared" si="6"/>
        <v>0.25</v>
      </c>
    </row>
    <row r="103" spans="1:10" ht="16" thickBot="1">
      <c r="A103" t="s">
        <v>1507</v>
      </c>
      <c r="C103">
        <v>3</v>
      </c>
      <c r="E103" s="29" t="s">
        <v>1505</v>
      </c>
      <c r="F103" s="35">
        <f t="shared" si="7"/>
        <v>0.1</v>
      </c>
      <c r="H103" s="31" t="s">
        <v>1858</v>
      </c>
      <c r="I103" s="62">
        <v>0</v>
      </c>
      <c r="J103" s="36">
        <f t="shared" si="6"/>
        <v>0</v>
      </c>
    </row>
    <row r="104" spans="1:10" ht="16" thickBot="1">
      <c r="A104" t="s">
        <v>1505</v>
      </c>
      <c r="C104">
        <v>4</v>
      </c>
      <c r="E104" s="31" t="s">
        <v>1504</v>
      </c>
      <c r="F104" s="36">
        <f t="shared" si="7"/>
        <v>0</v>
      </c>
    </row>
    <row r="105" spans="1:10">
      <c r="A105" t="s">
        <v>1504</v>
      </c>
      <c r="C105">
        <v>0</v>
      </c>
    </row>
  </sheetData>
  <mergeCells count="1">
    <mergeCell ref="A45:F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0"/>
  <sheetViews>
    <sheetView topLeftCell="A31" workbookViewId="0">
      <selection activeCell="I53" sqref="I53"/>
    </sheetView>
  </sheetViews>
  <sheetFormatPr baseColWidth="10" defaultRowHeight="15"/>
  <cols>
    <col min="2" max="2" width="36.5" customWidth="1"/>
    <col min="6" max="6" width="11.5" style="41"/>
    <col min="7" max="7" width="47" customWidth="1"/>
    <col min="8" max="8" width="55.83203125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44350</v>
      </c>
      <c r="B2" t="s">
        <v>600</v>
      </c>
      <c r="C2" t="s">
        <v>1503</v>
      </c>
      <c r="D2" t="s">
        <v>1509</v>
      </c>
      <c r="E2" t="s">
        <v>18</v>
      </c>
      <c r="F2" s="94">
        <v>796.5</v>
      </c>
      <c r="G2" t="s">
        <v>603</v>
      </c>
      <c r="H2" t="s">
        <v>588</v>
      </c>
    </row>
    <row r="3" spans="1:8">
      <c r="A3" s="6">
        <v>44350</v>
      </c>
      <c r="B3" t="s">
        <v>605</v>
      </c>
      <c r="C3" t="s">
        <v>1506</v>
      </c>
      <c r="D3" t="s">
        <v>1509</v>
      </c>
      <c r="E3" t="s">
        <v>18</v>
      </c>
      <c r="F3" s="94">
        <v>736.25</v>
      </c>
      <c r="G3" t="s">
        <v>608</v>
      </c>
      <c r="H3" t="s">
        <v>403</v>
      </c>
    </row>
    <row r="4" spans="1:8">
      <c r="A4" s="6">
        <v>44350</v>
      </c>
      <c r="B4" t="s">
        <v>610</v>
      </c>
      <c r="C4" t="s">
        <v>1506</v>
      </c>
      <c r="D4" t="s">
        <v>1509</v>
      </c>
      <c r="E4" t="s">
        <v>18</v>
      </c>
      <c r="F4" s="94">
        <v>716.4</v>
      </c>
      <c r="G4" t="s">
        <v>613</v>
      </c>
      <c r="H4" t="s">
        <v>20</v>
      </c>
    </row>
    <row r="5" spans="1:8">
      <c r="A5" s="6">
        <v>44351</v>
      </c>
      <c r="B5" t="s">
        <v>619</v>
      </c>
      <c r="C5" t="s">
        <v>1506</v>
      </c>
      <c r="D5" t="s">
        <v>1509</v>
      </c>
      <c r="E5" t="s">
        <v>18</v>
      </c>
      <c r="F5" s="94">
        <v>963.3</v>
      </c>
      <c r="G5" t="s">
        <v>622</v>
      </c>
      <c r="H5" t="s">
        <v>403</v>
      </c>
    </row>
    <row r="6" spans="1:8">
      <c r="A6" s="6">
        <v>44352</v>
      </c>
      <c r="B6" s="11" t="s">
        <v>624</v>
      </c>
      <c r="C6" t="s">
        <v>1503</v>
      </c>
      <c r="D6" t="s">
        <v>1510</v>
      </c>
      <c r="E6" t="s">
        <v>228</v>
      </c>
      <c r="F6" s="94">
        <v>3420</v>
      </c>
      <c r="G6" t="s">
        <v>627</v>
      </c>
      <c r="H6" t="s">
        <v>617</v>
      </c>
    </row>
    <row r="7" spans="1:8">
      <c r="A7" s="6">
        <v>44354</v>
      </c>
      <c r="B7" t="s">
        <v>630</v>
      </c>
      <c r="C7" t="s">
        <v>1503</v>
      </c>
      <c r="D7" t="s">
        <v>1509</v>
      </c>
      <c r="E7" t="s">
        <v>18</v>
      </c>
      <c r="F7" s="94">
        <v>650</v>
      </c>
      <c r="G7" t="s">
        <v>84</v>
      </c>
      <c r="H7" t="s">
        <v>616</v>
      </c>
    </row>
    <row r="8" spans="1:8">
      <c r="A8" s="6">
        <v>44355</v>
      </c>
      <c r="B8" t="s">
        <v>634</v>
      </c>
      <c r="C8" t="s">
        <v>1506</v>
      </c>
      <c r="D8" t="s">
        <v>1509</v>
      </c>
      <c r="E8" t="s">
        <v>18</v>
      </c>
      <c r="F8" s="94">
        <v>2394.9</v>
      </c>
      <c r="G8" t="s">
        <v>1871</v>
      </c>
      <c r="H8" t="s">
        <v>638</v>
      </c>
    </row>
    <row r="9" spans="1:8">
      <c r="A9" s="6">
        <v>44356</v>
      </c>
      <c r="B9" t="s">
        <v>640</v>
      </c>
      <c r="C9" t="s">
        <v>1506</v>
      </c>
      <c r="D9" t="s">
        <v>1509</v>
      </c>
      <c r="E9" t="s">
        <v>18</v>
      </c>
      <c r="F9" s="94">
        <v>980</v>
      </c>
      <c r="G9" t="s">
        <v>643</v>
      </c>
      <c r="H9" t="s">
        <v>628</v>
      </c>
    </row>
    <row r="10" spans="1:8">
      <c r="A10" s="6">
        <v>44357</v>
      </c>
      <c r="B10" t="s">
        <v>614</v>
      </c>
      <c r="C10" t="s">
        <v>1506</v>
      </c>
      <c r="D10" t="s">
        <v>1509</v>
      </c>
      <c r="E10" t="s">
        <v>1455</v>
      </c>
      <c r="F10" s="94">
        <v>1187.5</v>
      </c>
      <c r="G10" t="s">
        <v>1488</v>
      </c>
      <c r="H10" t="s">
        <v>809</v>
      </c>
    </row>
    <row r="11" spans="1:8">
      <c r="A11" s="6">
        <v>44358</v>
      </c>
      <c r="B11" t="s">
        <v>654</v>
      </c>
      <c r="C11" t="s">
        <v>1506</v>
      </c>
      <c r="D11" t="s">
        <v>1509</v>
      </c>
      <c r="E11" t="s">
        <v>18</v>
      </c>
      <c r="F11" s="94">
        <v>811.3</v>
      </c>
      <c r="G11" t="s">
        <v>657</v>
      </c>
      <c r="H11" t="s">
        <v>698</v>
      </c>
    </row>
    <row r="12" spans="1:8">
      <c r="A12" s="6">
        <v>44358</v>
      </c>
      <c r="B12" t="s">
        <v>659</v>
      </c>
      <c r="C12" t="s">
        <v>1506</v>
      </c>
      <c r="D12" t="s">
        <v>1509</v>
      </c>
      <c r="E12" t="s">
        <v>18</v>
      </c>
      <c r="F12" s="94">
        <v>980.4</v>
      </c>
      <c r="G12" t="s">
        <v>662</v>
      </c>
      <c r="H12" t="s">
        <v>644</v>
      </c>
    </row>
    <row r="13" spans="1:8">
      <c r="A13" s="6">
        <v>44359</v>
      </c>
      <c r="B13" t="s">
        <v>521</v>
      </c>
      <c r="C13" t="s">
        <v>1506</v>
      </c>
      <c r="D13" t="s">
        <v>1510</v>
      </c>
      <c r="E13" t="s">
        <v>1455</v>
      </c>
      <c r="F13" s="94">
        <v>746.46</v>
      </c>
      <c r="G13" t="s">
        <v>1484</v>
      </c>
      <c r="H13" t="s">
        <v>1457</v>
      </c>
    </row>
    <row r="14" spans="1:8">
      <c r="A14" s="6">
        <v>44359</v>
      </c>
      <c r="B14" t="s">
        <v>664</v>
      </c>
      <c r="C14" t="s">
        <v>1506</v>
      </c>
      <c r="D14" t="s">
        <v>1509</v>
      </c>
      <c r="E14" t="s">
        <v>18</v>
      </c>
      <c r="F14" s="94">
        <v>1881</v>
      </c>
      <c r="G14" t="s">
        <v>667</v>
      </c>
      <c r="H14" t="s">
        <v>652</v>
      </c>
    </row>
    <row r="15" spans="1:8">
      <c r="A15" s="6">
        <v>44350</v>
      </c>
      <c r="B15" s="11" t="s">
        <v>670</v>
      </c>
      <c r="C15" t="s">
        <v>1506</v>
      </c>
      <c r="D15" t="s">
        <v>1510</v>
      </c>
      <c r="E15" t="s">
        <v>18</v>
      </c>
      <c r="F15" s="94">
        <v>1366.48</v>
      </c>
      <c r="G15" t="s">
        <v>673</v>
      </c>
      <c r="H15" t="s">
        <v>652</v>
      </c>
    </row>
    <row r="16" spans="1:8">
      <c r="A16" s="6">
        <v>44351</v>
      </c>
      <c r="B16" t="s">
        <v>674</v>
      </c>
      <c r="C16" t="s">
        <v>1506</v>
      </c>
      <c r="D16" t="s">
        <v>1509</v>
      </c>
      <c r="E16" t="s">
        <v>18</v>
      </c>
      <c r="F16" s="94">
        <v>1457.46</v>
      </c>
      <c r="G16" t="s">
        <v>1490</v>
      </c>
      <c r="H16" t="s">
        <v>1457</v>
      </c>
    </row>
    <row r="17" spans="1:8">
      <c r="A17" s="6">
        <v>44361</v>
      </c>
      <c r="B17" t="s">
        <v>678</v>
      </c>
      <c r="C17" t="s">
        <v>1506</v>
      </c>
      <c r="D17" t="s">
        <v>1509</v>
      </c>
      <c r="E17" t="s">
        <v>18</v>
      </c>
      <c r="F17" s="94">
        <v>684</v>
      </c>
      <c r="G17" t="s">
        <v>117</v>
      </c>
      <c r="H17" t="s">
        <v>668</v>
      </c>
    </row>
    <row r="18" spans="1:8">
      <c r="A18" s="6">
        <v>44361</v>
      </c>
      <c r="B18" t="s">
        <v>683</v>
      </c>
      <c r="C18" t="s">
        <v>1506</v>
      </c>
      <c r="D18" t="s">
        <v>1509</v>
      </c>
      <c r="E18" t="s">
        <v>685</v>
      </c>
      <c r="F18" s="94">
        <v>1695.6</v>
      </c>
      <c r="G18" t="s">
        <v>686</v>
      </c>
      <c r="H18" t="s">
        <v>403</v>
      </c>
    </row>
    <row r="19" spans="1:8">
      <c r="A19" s="6">
        <v>44362</v>
      </c>
      <c r="B19" t="s">
        <v>39</v>
      </c>
      <c r="C19" t="s">
        <v>1506</v>
      </c>
      <c r="D19" t="s">
        <v>1509</v>
      </c>
      <c r="E19" t="s">
        <v>1455</v>
      </c>
      <c r="F19" s="94">
        <v>1154.7</v>
      </c>
      <c r="G19" t="s">
        <v>1463</v>
      </c>
      <c r="H19" t="s">
        <v>697</v>
      </c>
    </row>
    <row r="20" spans="1:8">
      <c r="A20" s="6">
        <v>44363</v>
      </c>
      <c r="B20" t="s">
        <v>693</v>
      </c>
      <c r="C20" t="s">
        <v>1502</v>
      </c>
      <c r="D20" t="s">
        <v>1509</v>
      </c>
      <c r="E20" t="s">
        <v>18</v>
      </c>
      <c r="F20" s="94">
        <v>817</v>
      </c>
      <c r="G20" t="s">
        <v>696</v>
      </c>
      <c r="H20" t="s">
        <v>681</v>
      </c>
    </row>
    <row r="21" spans="1:8">
      <c r="A21" s="6">
        <v>44364</v>
      </c>
      <c r="B21" t="s">
        <v>701</v>
      </c>
      <c r="C21" t="s">
        <v>1506</v>
      </c>
      <c r="D21" t="s">
        <v>1509</v>
      </c>
      <c r="E21" t="s">
        <v>18</v>
      </c>
      <c r="F21" s="94">
        <v>3272.4</v>
      </c>
      <c r="G21" t="s">
        <v>1872</v>
      </c>
      <c r="H21" t="s">
        <v>691</v>
      </c>
    </row>
    <row r="22" spans="1:8">
      <c r="A22" s="6">
        <v>44365</v>
      </c>
      <c r="B22" t="s">
        <v>705</v>
      </c>
      <c r="C22" t="s">
        <v>1502</v>
      </c>
      <c r="D22" t="s">
        <v>1509</v>
      </c>
      <c r="E22" t="s">
        <v>18</v>
      </c>
      <c r="F22" s="94">
        <v>803.7</v>
      </c>
      <c r="G22" t="s">
        <v>708</v>
      </c>
      <c r="H22" t="s">
        <v>1457</v>
      </c>
    </row>
    <row r="23" spans="1:8">
      <c r="A23" s="6">
        <v>44365</v>
      </c>
      <c r="B23" t="s">
        <v>710</v>
      </c>
      <c r="C23" t="s">
        <v>1506</v>
      </c>
      <c r="D23" t="s">
        <v>1509</v>
      </c>
      <c r="E23" t="s">
        <v>18</v>
      </c>
      <c r="F23" s="94">
        <v>1108.6500000000001</v>
      </c>
      <c r="G23" t="s">
        <v>713</v>
      </c>
      <c r="H23" t="s">
        <v>668</v>
      </c>
    </row>
    <row r="24" spans="1:8">
      <c r="A24" s="6">
        <v>44366</v>
      </c>
      <c r="B24" t="s">
        <v>716</v>
      </c>
      <c r="C24" t="s">
        <v>1506</v>
      </c>
      <c r="D24" t="s">
        <v>1509</v>
      </c>
      <c r="E24" t="s">
        <v>719</v>
      </c>
      <c r="F24" s="94">
        <v>1000</v>
      </c>
      <c r="G24" t="s">
        <v>720</v>
      </c>
      <c r="H24" t="s">
        <v>403</v>
      </c>
    </row>
    <row r="25" spans="1:8">
      <c r="A25" s="6">
        <v>44368</v>
      </c>
      <c r="B25" t="s">
        <v>722</v>
      </c>
      <c r="C25" t="s">
        <v>1506</v>
      </c>
      <c r="D25" t="s">
        <v>1509</v>
      </c>
      <c r="E25" t="s">
        <v>18</v>
      </c>
      <c r="F25" s="94">
        <v>960.45</v>
      </c>
      <c r="G25" t="s">
        <v>725</v>
      </c>
      <c r="H25" t="s">
        <v>681</v>
      </c>
    </row>
    <row r="26" spans="1:8">
      <c r="A26" s="6">
        <v>44369</v>
      </c>
      <c r="B26" t="s">
        <v>729</v>
      </c>
      <c r="C26" t="s">
        <v>1506</v>
      </c>
      <c r="D26" t="s">
        <v>1509</v>
      </c>
      <c r="E26" t="s">
        <v>18</v>
      </c>
      <c r="F26" s="94">
        <v>817</v>
      </c>
      <c r="G26" t="s">
        <v>732</v>
      </c>
      <c r="H26" t="s">
        <v>714</v>
      </c>
    </row>
    <row r="27" spans="1:8">
      <c r="A27" s="6">
        <v>44356</v>
      </c>
      <c r="B27" t="s">
        <v>734</v>
      </c>
      <c r="C27" t="s">
        <v>1506</v>
      </c>
      <c r="D27" t="s">
        <v>1509</v>
      </c>
      <c r="E27" t="s">
        <v>18</v>
      </c>
      <c r="F27" s="94">
        <v>961.6</v>
      </c>
      <c r="G27" t="s">
        <v>737</v>
      </c>
      <c r="H27" t="s">
        <v>726</v>
      </c>
    </row>
    <row r="28" spans="1:8">
      <c r="A28" s="6">
        <v>44357</v>
      </c>
      <c r="B28" t="s">
        <v>740</v>
      </c>
      <c r="C28" t="s">
        <v>1507</v>
      </c>
      <c r="D28" t="s">
        <v>1509</v>
      </c>
      <c r="E28" t="s">
        <v>18</v>
      </c>
      <c r="F28" s="94">
        <v>2455.1999999999998</v>
      </c>
      <c r="G28" t="s">
        <v>743</v>
      </c>
      <c r="H28" t="s">
        <v>727</v>
      </c>
    </row>
    <row r="29" spans="1:8">
      <c r="A29" s="6">
        <v>44357</v>
      </c>
      <c r="B29" t="s">
        <v>744</v>
      </c>
      <c r="C29" t="s">
        <v>1507</v>
      </c>
      <c r="D29" t="s">
        <v>1509</v>
      </c>
      <c r="E29" t="s">
        <v>18</v>
      </c>
      <c r="F29" s="94">
        <v>2207</v>
      </c>
      <c r="G29" t="s">
        <v>1492</v>
      </c>
      <c r="H29" t="s">
        <v>738</v>
      </c>
    </row>
    <row r="30" spans="1:8">
      <c r="A30" s="6">
        <v>44372</v>
      </c>
      <c r="B30" t="s">
        <v>749</v>
      </c>
      <c r="C30" t="s">
        <v>1503</v>
      </c>
      <c r="D30" t="s">
        <v>1509</v>
      </c>
      <c r="E30" t="s">
        <v>18</v>
      </c>
      <c r="F30" s="94">
        <v>1057</v>
      </c>
      <c r="G30" t="s">
        <v>752</v>
      </c>
      <c r="H30" t="s">
        <v>681</v>
      </c>
    </row>
    <row r="31" spans="1:8">
      <c r="A31" s="6">
        <v>44372</v>
      </c>
      <c r="B31" t="s">
        <v>755</v>
      </c>
      <c r="C31" t="s">
        <v>1506</v>
      </c>
      <c r="D31" t="s">
        <v>1509</v>
      </c>
      <c r="E31" t="s">
        <v>18</v>
      </c>
      <c r="F31" s="94">
        <v>803.7</v>
      </c>
      <c r="G31" t="s">
        <v>68</v>
      </c>
      <c r="H31" t="s">
        <v>747</v>
      </c>
    </row>
    <row r="32" spans="1:8">
      <c r="A32" s="6">
        <v>44372</v>
      </c>
      <c r="B32" t="s">
        <v>759</v>
      </c>
      <c r="C32" t="s">
        <v>1506</v>
      </c>
      <c r="D32" t="s">
        <v>1509</v>
      </c>
      <c r="E32" t="s">
        <v>18</v>
      </c>
      <c r="F32" s="94">
        <v>684</v>
      </c>
      <c r="G32" t="s">
        <v>762</v>
      </c>
      <c r="H32" t="s">
        <v>753</v>
      </c>
    </row>
    <row r="33" spans="1:8">
      <c r="A33" s="6">
        <v>44373</v>
      </c>
      <c r="B33" t="s">
        <v>764</v>
      </c>
      <c r="C33" t="s">
        <v>1503</v>
      </c>
      <c r="D33" t="s">
        <v>1509</v>
      </c>
      <c r="E33" t="s">
        <v>18</v>
      </c>
      <c r="F33" s="94">
        <v>1276</v>
      </c>
      <c r="G33" t="s">
        <v>767</v>
      </c>
      <c r="H33" t="s">
        <v>769</v>
      </c>
    </row>
    <row r="34" spans="1:8">
      <c r="A34" s="6">
        <v>44375</v>
      </c>
      <c r="B34" t="s">
        <v>771</v>
      </c>
      <c r="C34" t="s">
        <v>1503</v>
      </c>
      <c r="D34" t="s">
        <v>1509</v>
      </c>
      <c r="E34" t="s">
        <v>18</v>
      </c>
      <c r="F34" s="94">
        <v>1348.84</v>
      </c>
      <c r="G34" t="s">
        <v>774</v>
      </c>
      <c r="H34" t="s">
        <v>681</v>
      </c>
    </row>
    <row r="35" spans="1:8">
      <c r="A35" s="6">
        <v>44375</v>
      </c>
      <c r="B35" t="s">
        <v>776</v>
      </c>
      <c r="C35" t="s">
        <v>1506</v>
      </c>
      <c r="D35" t="s">
        <v>1509</v>
      </c>
      <c r="E35" t="s">
        <v>18</v>
      </c>
      <c r="F35" s="94">
        <v>1037.4000000000001</v>
      </c>
      <c r="G35" t="s">
        <v>779</v>
      </c>
      <c r="H35" t="s">
        <v>768</v>
      </c>
    </row>
    <row r="36" spans="1:8">
      <c r="A36" s="6">
        <v>44375</v>
      </c>
      <c r="B36" t="s">
        <v>781</v>
      </c>
      <c r="C36" t="s">
        <v>1503</v>
      </c>
      <c r="D36" t="s">
        <v>1509</v>
      </c>
      <c r="E36" t="s">
        <v>18</v>
      </c>
      <c r="F36" s="94">
        <v>650</v>
      </c>
      <c r="G36" t="s">
        <v>784</v>
      </c>
      <c r="H36" t="s">
        <v>281</v>
      </c>
    </row>
    <row r="37" spans="1:8">
      <c r="A37" s="6">
        <v>44371</v>
      </c>
      <c r="B37" t="s">
        <v>786</v>
      </c>
      <c r="C37" t="s">
        <v>1503</v>
      </c>
      <c r="D37" t="s">
        <v>1509</v>
      </c>
      <c r="E37" t="s">
        <v>787</v>
      </c>
      <c r="F37" s="94">
        <v>1030</v>
      </c>
      <c r="G37" t="s">
        <v>788</v>
      </c>
      <c r="H37" t="s">
        <v>403</v>
      </c>
    </row>
    <row r="38" spans="1:8">
      <c r="A38" s="6">
        <v>44371</v>
      </c>
      <c r="B38" t="s">
        <v>790</v>
      </c>
      <c r="C38" t="s">
        <v>1503</v>
      </c>
      <c r="D38" t="s">
        <v>1509</v>
      </c>
      <c r="E38" t="s">
        <v>787</v>
      </c>
      <c r="F38" s="94">
        <v>835</v>
      </c>
      <c r="G38" t="s">
        <v>791</v>
      </c>
      <c r="H38" t="s">
        <v>792</v>
      </c>
    </row>
    <row r="39" spans="1:8">
      <c r="A39" s="6">
        <v>44377</v>
      </c>
      <c r="B39" t="s">
        <v>794</v>
      </c>
      <c r="C39" t="s">
        <v>1506</v>
      </c>
      <c r="D39" t="s">
        <v>1509</v>
      </c>
      <c r="E39" t="s">
        <v>18</v>
      </c>
      <c r="F39" s="94">
        <v>1201</v>
      </c>
      <c r="G39" t="s">
        <v>797</v>
      </c>
      <c r="H39" t="s">
        <v>804</v>
      </c>
    </row>
    <row r="40" spans="1:8">
      <c r="A40" s="6">
        <v>44368</v>
      </c>
      <c r="B40" t="s">
        <v>805</v>
      </c>
      <c r="C40" t="s">
        <v>1506</v>
      </c>
      <c r="D40" t="s">
        <v>1509</v>
      </c>
      <c r="E40" t="s">
        <v>18</v>
      </c>
      <c r="F40" s="94">
        <v>1819.25</v>
      </c>
      <c r="G40" t="s">
        <v>1493</v>
      </c>
      <c r="H40" t="s">
        <v>789</v>
      </c>
    </row>
    <row r="41" spans="1:8">
      <c r="A41" s="6">
        <v>44372</v>
      </c>
      <c r="B41" t="s">
        <v>848</v>
      </c>
      <c r="C41" t="s">
        <v>1506</v>
      </c>
      <c r="D41" t="s">
        <v>1509</v>
      </c>
      <c r="E41" t="s">
        <v>18</v>
      </c>
      <c r="F41" s="94">
        <v>1388.47</v>
      </c>
      <c r="G41" t="s">
        <v>851</v>
      </c>
      <c r="H41" t="s">
        <v>834</v>
      </c>
    </row>
    <row r="42" spans="1:8">
      <c r="A42" s="6">
        <v>44377</v>
      </c>
      <c r="B42" t="s">
        <v>515</v>
      </c>
      <c r="C42" t="s">
        <v>1506</v>
      </c>
      <c r="D42" t="s">
        <v>1510</v>
      </c>
      <c r="E42" t="s">
        <v>1455</v>
      </c>
      <c r="F42" s="94">
        <v>3233.31</v>
      </c>
      <c r="G42" t="s">
        <v>518</v>
      </c>
      <c r="H42" t="s">
        <v>1457</v>
      </c>
    </row>
    <row r="43" spans="1:8">
      <c r="A43" s="6">
        <v>44362</v>
      </c>
      <c r="B43" t="s">
        <v>904</v>
      </c>
      <c r="C43" t="s">
        <v>1506</v>
      </c>
      <c r="D43" t="s">
        <v>1509</v>
      </c>
      <c r="E43" t="s">
        <v>18</v>
      </c>
      <c r="F43" s="94">
        <v>3665.5</v>
      </c>
      <c r="G43" t="s">
        <v>1623</v>
      </c>
      <c r="H43" t="s">
        <v>892</v>
      </c>
    </row>
    <row r="44" spans="1:8">
      <c r="A44" s="6">
        <v>44371</v>
      </c>
      <c r="B44" t="s">
        <v>125</v>
      </c>
      <c r="C44" t="s">
        <v>1506</v>
      </c>
      <c r="D44" t="s">
        <v>1509</v>
      </c>
      <c r="E44" t="s">
        <v>1455</v>
      </c>
      <c r="F44" s="94">
        <v>2592.9</v>
      </c>
      <c r="G44" t="s">
        <v>1468</v>
      </c>
      <c r="H44" t="s">
        <v>20</v>
      </c>
    </row>
    <row r="45" spans="1:8">
      <c r="A45" s="6">
        <v>44358</v>
      </c>
      <c r="B45" t="s">
        <v>648</v>
      </c>
      <c r="C45" t="s">
        <v>1503</v>
      </c>
      <c r="D45" t="s">
        <v>1509</v>
      </c>
      <c r="E45" t="s">
        <v>18</v>
      </c>
      <c r="F45" s="94">
        <v>576</v>
      </c>
      <c r="G45" t="s">
        <v>651</v>
      </c>
      <c r="H45" t="s">
        <v>268</v>
      </c>
    </row>
    <row r="46" spans="1:8">
      <c r="A46" s="6">
        <v>44368</v>
      </c>
      <c r="B46" t="s">
        <v>888</v>
      </c>
      <c r="C46" t="s">
        <v>1506</v>
      </c>
      <c r="D46" t="s">
        <v>1509</v>
      </c>
      <c r="E46" t="s">
        <v>18</v>
      </c>
      <c r="F46" s="92">
        <v>399.6</v>
      </c>
      <c r="G46" t="s">
        <v>1070</v>
      </c>
      <c r="H46" t="s">
        <v>588</v>
      </c>
    </row>
    <row r="50" spans="1:10" ht="16" thickBot="1">
      <c r="A50" s="106" t="s">
        <v>1541</v>
      </c>
      <c r="B50" s="106"/>
      <c r="C50" s="106"/>
      <c r="D50" s="106"/>
      <c r="E50" s="106"/>
      <c r="F50" s="106"/>
    </row>
    <row r="51" spans="1:10">
      <c r="A51" t="s">
        <v>1513</v>
      </c>
      <c r="C51" s="8">
        <f>SUM(F2:F46)</f>
        <v>60623.219999999994</v>
      </c>
      <c r="E51" s="27" t="s">
        <v>1546</v>
      </c>
      <c r="F51" s="38"/>
      <c r="H51" s="27" t="s">
        <v>1515</v>
      </c>
      <c r="I51" s="61">
        <v>12</v>
      </c>
      <c r="J51" s="47"/>
    </row>
    <row r="52" spans="1:10">
      <c r="E52" s="29" t="s">
        <v>1552</v>
      </c>
      <c r="F52" s="95">
        <v>60623.219999999994</v>
      </c>
      <c r="H52" s="29" t="s">
        <v>1768</v>
      </c>
      <c r="I52">
        <v>0</v>
      </c>
      <c r="J52" s="35">
        <f>I52/I$51</f>
        <v>0</v>
      </c>
    </row>
    <row r="53" spans="1:10" ht="16" thickBot="1">
      <c r="A53" t="s">
        <v>1545</v>
      </c>
      <c r="C53">
        <v>24</v>
      </c>
      <c r="E53" s="31" t="s">
        <v>1553</v>
      </c>
      <c r="F53" s="96">
        <f>C51/C53</f>
        <v>2525.9674999999997</v>
      </c>
      <c r="H53" s="29" t="s">
        <v>1769</v>
      </c>
      <c r="I53">
        <v>12</v>
      </c>
      <c r="J53" s="35">
        <f>I53/I$51</f>
        <v>1</v>
      </c>
    </row>
    <row r="54" spans="1:10" ht="16" thickBot="1">
      <c r="A54" t="s">
        <v>1759</v>
      </c>
      <c r="C54">
        <v>45</v>
      </c>
      <c r="H54" s="31" t="s">
        <v>1770</v>
      </c>
      <c r="I54" s="62">
        <v>0</v>
      </c>
      <c r="J54" s="36">
        <f>I54/I$51</f>
        <v>0</v>
      </c>
    </row>
    <row r="55" spans="1:10">
      <c r="D55" t="s">
        <v>1486</v>
      </c>
      <c r="E55" s="27" t="s">
        <v>1547</v>
      </c>
      <c r="F55" s="38"/>
    </row>
    <row r="56" spans="1:10" ht="16" thickBot="1">
      <c r="A56" t="s">
        <v>1511</v>
      </c>
      <c r="C56">
        <v>41</v>
      </c>
      <c r="D56" t="s">
        <v>1486</v>
      </c>
      <c r="E56" s="29" t="s">
        <v>1509</v>
      </c>
      <c r="F56" s="43">
        <f>C56/C$54</f>
        <v>0.91111111111111109</v>
      </c>
      <c r="G56" t="s">
        <v>1486</v>
      </c>
    </row>
    <row r="57" spans="1:10" ht="16" thickBot="1">
      <c r="A57" t="s">
        <v>1512</v>
      </c>
      <c r="C57">
        <v>4</v>
      </c>
      <c r="E57" s="31" t="s">
        <v>1510</v>
      </c>
      <c r="F57" s="44">
        <f>C57/C$54</f>
        <v>8.8888888888888892E-2</v>
      </c>
      <c r="H57" s="27" t="s">
        <v>1807</v>
      </c>
      <c r="I57" s="61">
        <v>25</v>
      </c>
      <c r="J57" s="47"/>
    </row>
    <row r="58" spans="1:10" ht="16" thickBot="1">
      <c r="H58" s="29" t="s">
        <v>1771</v>
      </c>
      <c r="I58">
        <v>17</v>
      </c>
      <c r="J58" s="35">
        <f>I58/I$57</f>
        <v>0.68</v>
      </c>
    </row>
    <row r="59" spans="1:10">
      <c r="A59" t="s">
        <v>1524</v>
      </c>
      <c r="E59" s="27" t="s">
        <v>1548</v>
      </c>
      <c r="F59" s="38"/>
      <c r="H59" s="29" t="s">
        <v>1772</v>
      </c>
      <c r="I59">
        <v>6</v>
      </c>
      <c r="J59" s="35">
        <f>I59/I$57</f>
        <v>0.24</v>
      </c>
    </row>
    <row r="60" spans="1:10">
      <c r="A60" t="s">
        <v>1514</v>
      </c>
      <c r="C60">
        <v>3</v>
      </c>
      <c r="E60" s="29" t="s">
        <v>1514</v>
      </c>
      <c r="F60" s="43">
        <f>C60/C$69</f>
        <v>3.7974683544303799E-2</v>
      </c>
      <c r="H60" s="29" t="s">
        <v>1773</v>
      </c>
      <c r="I60">
        <v>2</v>
      </c>
      <c r="J60" s="35">
        <f>I60/I$57</f>
        <v>0.08</v>
      </c>
    </row>
    <row r="61" spans="1:10">
      <c r="A61" t="s">
        <v>1515</v>
      </c>
      <c r="C61">
        <v>12</v>
      </c>
      <c r="E61" s="29" t="s">
        <v>1515</v>
      </c>
      <c r="F61" s="43">
        <f t="shared" ref="F61:F68" si="0">C61/C$69</f>
        <v>0.15189873417721519</v>
      </c>
      <c r="H61" s="29"/>
      <c r="J61" s="35"/>
    </row>
    <row r="62" spans="1:10">
      <c r="A62" t="s">
        <v>1516</v>
      </c>
      <c r="C62">
        <v>25</v>
      </c>
      <c r="E62" s="29" t="s">
        <v>1516</v>
      </c>
      <c r="F62" s="43">
        <f t="shared" si="0"/>
        <v>0.31645569620253167</v>
      </c>
      <c r="H62" s="29" t="s">
        <v>1818</v>
      </c>
      <c r="I62">
        <v>3</v>
      </c>
      <c r="J62" s="35">
        <f t="shared" ref="J62:J69" si="1">I62/I$57</f>
        <v>0.12</v>
      </c>
    </row>
    <row r="63" spans="1:10">
      <c r="A63" t="s">
        <v>1517</v>
      </c>
      <c r="C63">
        <v>0</v>
      </c>
      <c r="E63" s="29" t="s">
        <v>1517</v>
      </c>
      <c r="F63" s="43">
        <f t="shared" si="0"/>
        <v>0</v>
      </c>
      <c r="H63" s="29" t="s">
        <v>1819</v>
      </c>
      <c r="I63">
        <v>3</v>
      </c>
      <c r="J63" s="35">
        <f t="shared" si="1"/>
        <v>0.12</v>
      </c>
    </row>
    <row r="64" spans="1:10">
      <c r="A64" t="s">
        <v>1518</v>
      </c>
      <c r="C64">
        <v>10</v>
      </c>
      <c r="E64" s="29" t="s">
        <v>1518</v>
      </c>
      <c r="F64" s="43">
        <f t="shared" si="0"/>
        <v>0.12658227848101267</v>
      </c>
      <c r="H64" s="29" t="s">
        <v>1774</v>
      </c>
      <c r="I64">
        <v>2</v>
      </c>
      <c r="J64" s="35">
        <f t="shared" si="1"/>
        <v>0.08</v>
      </c>
    </row>
    <row r="65" spans="1:10">
      <c r="A65" t="s">
        <v>1519</v>
      </c>
      <c r="C65">
        <v>2</v>
      </c>
      <c r="E65" s="29" t="s">
        <v>1519</v>
      </c>
      <c r="F65" s="43">
        <f t="shared" si="0"/>
        <v>2.5316455696202531E-2</v>
      </c>
      <c r="H65" s="29" t="s">
        <v>1775</v>
      </c>
      <c r="I65">
        <v>3</v>
      </c>
      <c r="J65" s="35">
        <f t="shared" si="1"/>
        <v>0.12</v>
      </c>
    </row>
    <row r="66" spans="1:10">
      <c r="A66" t="s">
        <v>1520</v>
      </c>
      <c r="C66">
        <v>13</v>
      </c>
      <c r="E66" s="29" t="s">
        <v>1520</v>
      </c>
      <c r="F66" s="43">
        <f t="shared" si="0"/>
        <v>0.16455696202531644</v>
      </c>
      <c r="H66" s="29" t="s">
        <v>1776</v>
      </c>
      <c r="I66">
        <v>4</v>
      </c>
      <c r="J66" s="35">
        <f t="shared" si="1"/>
        <v>0.16</v>
      </c>
    </row>
    <row r="67" spans="1:10">
      <c r="A67" t="s">
        <v>1522</v>
      </c>
      <c r="C67">
        <v>4</v>
      </c>
      <c r="E67" s="29" t="s">
        <v>1522</v>
      </c>
      <c r="F67" s="43">
        <f t="shared" si="0"/>
        <v>5.0632911392405063E-2</v>
      </c>
      <c r="H67" s="29" t="s">
        <v>1777</v>
      </c>
      <c r="I67">
        <v>9</v>
      </c>
      <c r="J67" s="35">
        <f t="shared" si="1"/>
        <v>0.36</v>
      </c>
    </row>
    <row r="68" spans="1:10" ht="16" thickBot="1">
      <c r="A68" t="s">
        <v>1574</v>
      </c>
      <c r="C68">
        <v>10</v>
      </c>
      <c r="E68" s="31" t="s">
        <v>1574</v>
      </c>
      <c r="F68" s="44">
        <f t="shared" si="0"/>
        <v>0.12658227848101267</v>
      </c>
      <c r="H68" s="29" t="s">
        <v>1817</v>
      </c>
      <c r="I68">
        <v>0</v>
      </c>
      <c r="J68" s="35">
        <f t="shared" si="1"/>
        <v>0</v>
      </c>
    </row>
    <row r="69" spans="1:10" ht="16" thickBot="1">
      <c r="A69" t="s">
        <v>1523</v>
      </c>
      <c r="C69">
        <f>SUM(C60:C68)</f>
        <v>79</v>
      </c>
      <c r="H69" s="31" t="s">
        <v>1861</v>
      </c>
      <c r="I69" s="62">
        <v>1</v>
      </c>
      <c r="J69" s="36">
        <f t="shared" si="1"/>
        <v>0.04</v>
      </c>
    </row>
    <row r="70" spans="1:10">
      <c r="E70" s="27" t="s">
        <v>1549</v>
      </c>
      <c r="F70" s="38"/>
    </row>
    <row r="71" spans="1:10" ht="16" thickBot="1">
      <c r="A71" t="s">
        <v>1525</v>
      </c>
      <c r="E71" s="29" t="s">
        <v>1526</v>
      </c>
      <c r="F71" s="43">
        <f>C72/C$82</f>
        <v>0.44086021505376344</v>
      </c>
    </row>
    <row r="72" spans="1:10">
      <c r="A72" t="s">
        <v>1526</v>
      </c>
      <c r="C72">
        <v>41</v>
      </c>
      <c r="E72" s="29" t="s">
        <v>1527</v>
      </c>
      <c r="F72" s="43">
        <f t="shared" ref="F72:F80" si="2">C73/C$82</f>
        <v>0.15053763440860216</v>
      </c>
      <c r="G72" t="s">
        <v>1486</v>
      </c>
      <c r="H72" s="27" t="s">
        <v>1518</v>
      </c>
      <c r="I72" s="61">
        <v>10</v>
      </c>
      <c r="J72" s="47"/>
    </row>
    <row r="73" spans="1:10">
      <c r="A73" t="s">
        <v>1527</v>
      </c>
      <c r="C73">
        <v>14</v>
      </c>
      <c r="E73" s="29" t="s">
        <v>1528</v>
      </c>
      <c r="F73" s="43">
        <f t="shared" si="2"/>
        <v>8.6021505376344093E-2</v>
      </c>
      <c r="H73" s="29" t="s">
        <v>1797</v>
      </c>
      <c r="I73">
        <v>4</v>
      </c>
      <c r="J73" s="35">
        <f>I73/I$72</f>
        <v>0.4</v>
      </c>
    </row>
    <row r="74" spans="1:10" ht="16" thickBot="1">
      <c r="A74" t="s">
        <v>1528</v>
      </c>
      <c r="C74">
        <v>8</v>
      </c>
      <c r="E74" s="29" t="s">
        <v>1529</v>
      </c>
      <c r="F74" s="43">
        <f t="shared" si="2"/>
        <v>0.12903225806451613</v>
      </c>
      <c r="H74" s="31" t="s">
        <v>1798</v>
      </c>
      <c r="I74" s="62">
        <v>6</v>
      </c>
      <c r="J74" s="36">
        <f>I74/I$72</f>
        <v>0.6</v>
      </c>
    </row>
    <row r="75" spans="1:10">
      <c r="A75" t="s">
        <v>1529</v>
      </c>
      <c r="C75">
        <v>12</v>
      </c>
      <c r="E75" s="29" t="s">
        <v>1530</v>
      </c>
      <c r="F75" s="43">
        <f t="shared" si="2"/>
        <v>3.2258064516129031E-2</v>
      </c>
    </row>
    <row r="76" spans="1:10" ht="16" thickBot="1">
      <c r="A76" t="s">
        <v>1530</v>
      </c>
      <c r="C76">
        <v>3</v>
      </c>
      <c r="E76" s="29" t="s">
        <v>1531</v>
      </c>
      <c r="F76" s="43">
        <f t="shared" si="2"/>
        <v>0</v>
      </c>
    </row>
    <row r="77" spans="1:10">
      <c r="A77" t="s">
        <v>1531</v>
      </c>
      <c r="C77">
        <v>0</v>
      </c>
      <c r="E77" s="29" t="s">
        <v>1532</v>
      </c>
      <c r="F77" s="43">
        <f t="shared" si="2"/>
        <v>0</v>
      </c>
      <c r="H77" s="27" t="s">
        <v>1805</v>
      </c>
      <c r="I77" s="61">
        <v>1</v>
      </c>
      <c r="J77" s="47"/>
    </row>
    <row r="78" spans="1:10">
      <c r="A78" t="s">
        <v>1532</v>
      </c>
      <c r="C78">
        <v>0</v>
      </c>
      <c r="E78" s="29" t="s">
        <v>1533</v>
      </c>
      <c r="F78" s="43">
        <f t="shared" si="2"/>
        <v>0</v>
      </c>
      <c r="H78" s="29" t="s">
        <v>1799</v>
      </c>
      <c r="I78">
        <v>0</v>
      </c>
      <c r="J78" s="35">
        <f t="shared" ref="J78:J83" si="3">I78/I$77</f>
        <v>0</v>
      </c>
    </row>
    <row r="79" spans="1:10">
      <c r="A79" t="s">
        <v>1533</v>
      </c>
      <c r="C79">
        <v>0</v>
      </c>
      <c r="E79" s="29" t="s">
        <v>1534</v>
      </c>
      <c r="F79" s="43">
        <f t="shared" si="2"/>
        <v>1.0752688172043012E-2</v>
      </c>
      <c r="H79" s="29" t="s">
        <v>1800</v>
      </c>
      <c r="I79">
        <v>0</v>
      </c>
      <c r="J79" s="35">
        <f t="shared" si="3"/>
        <v>0</v>
      </c>
    </row>
    <row r="80" spans="1:10" ht="16" thickBot="1">
      <c r="A80" t="s">
        <v>1534</v>
      </c>
      <c r="C80">
        <v>1</v>
      </c>
      <c r="E80" s="31" t="s">
        <v>1521</v>
      </c>
      <c r="F80" s="44">
        <f t="shared" si="2"/>
        <v>0.15053763440860216</v>
      </c>
      <c r="H80" s="29" t="s">
        <v>1801</v>
      </c>
      <c r="I80">
        <v>0</v>
      </c>
      <c r="J80" s="35">
        <f t="shared" si="3"/>
        <v>0</v>
      </c>
    </row>
    <row r="81" spans="1:10" ht="16" thickBot="1">
      <c r="A81" t="s">
        <v>1521</v>
      </c>
      <c r="C81">
        <v>14</v>
      </c>
      <c r="H81" s="29" t="s">
        <v>1802</v>
      </c>
      <c r="I81">
        <v>1</v>
      </c>
      <c r="J81" s="35">
        <f t="shared" si="3"/>
        <v>1</v>
      </c>
    </row>
    <row r="82" spans="1:10">
      <c r="A82" t="s">
        <v>1536</v>
      </c>
      <c r="C82">
        <f>SUM(C72:C81)</f>
        <v>93</v>
      </c>
      <c r="E82" s="27" t="s">
        <v>1550</v>
      </c>
      <c r="F82" s="38"/>
      <c r="H82" s="29" t="s">
        <v>1803</v>
      </c>
      <c r="I82">
        <v>0</v>
      </c>
      <c r="J82" s="35">
        <f t="shared" si="3"/>
        <v>0</v>
      </c>
    </row>
    <row r="83" spans="1:10" ht="16" thickBot="1">
      <c r="E83" s="29" t="s">
        <v>1542</v>
      </c>
      <c r="F83" s="43">
        <f>C84/C$54</f>
        <v>0.57777777777777772</v>
      </c>
      <c r="G83" t="s">
        <v>1486</v>
      </c>
      <c r="H83" s="31" t="s">
        <v>1804</v>
      </c>
      <c r="I83" s="62">
        <v>0</v>
      </c>
      <c r="J83" s="36">
        <f t="shared" si="3"/>
        <v>0</v>
      </c>
    </row>
    <row r="84" spans="1:10" ht="16" thickBot="1">
      <c r="A84" t="s">
        <v>1537</v>
      </c>
      <c r="C84">
        <v>26</v>
      </c>
      <c r="E84" s="29" t="s">
        <v>1543</v>
      </c>
      <c r="F84" s="43">
        <f>C85/C$54</f>
        <v>8.8888888888888892E-2</v>
      </c>
    </row>
    <row r="85" spans="1:10" ht="16" thickBot="1">
      <c r="A85" t="s">
        <v>1538</v>
      </c>
      <c r="C85">
        <v>4</v>
      </c>
      <c r="E85" s="31" t="s">
        <v>1544</v>
      </c>
      <c r="F85" s="44">
        <f>C86/C$54</f>
        <v>0.31111111111111112</v>
      </c>
      <c r="H85" s="27" t="s">
        <v>1806</v>
      </c>
      <c r="I85" s="61">
        <v>1</v>
      </c>
      <c r="J85" s="47"/>
    </row>
    <row r="86" spans="1:10" ht="16" thickBot="1">
      <c r="A86" t="s">
        <v>1539</v>
      </c>
      <c r="C86">
        <v>14</v>
      </c>
      <c r="F86" s="93"/>
      <c r="H86" s="29" t="s">
        <v>1799</v>
      </c>
      <c r="I86">
        <v>0</v>
      </c>
      <c r="J86" s="35">
        <f t="shared" ref="J86:J91" si="4">I86/I$85</f>
        <v>0</v>
      </c>
    </row>
    <row r="87" spans="1:10">
      <c r="E87" s="27" t="s">
        <v>1547</v>
      </c>
      <c r="F87" s="97"/>
      <c r="H87" s="29" t="s">
        <v>1800</v>
      </c>
      <c r="I87">
        <v>1</v>
      </c>
      <c r="J87" s="35">
        <f t="shared" si="4"/>
        <v>1</v>
      </c>
    </row>
    <row r="88" spans="1:10">
      <c r="A88" t="s">
        <v>1547</v>
      </c>
      <c r="E88" s="29" t="s">
        <v>1596</v>
      </c>
      <c r="F88" s="43">
        <f>C89/C$54</f>
        <v>0.8666666666666667</v>
      </c>
      <c r="H88" s="29" t="s">
        <v>1801</v>
      </c>
      <c r="I88">
        <v>0</v>
      </c>
      <c r="J88" s="35">
        <f t="shared" si="4"/>
        <v>0</v>
      </c>
    </row>
    <row r="89" spans="1:10" ht="16" thickBot="1">
      <c r="A89" t="s">
        <v>1568</v>
      </c>
      <c r="C89">
        <v>39</v>
      </c>
      <c r="E89" s="31" t="s">
        <v>1457</v>
      </c>
      <c r="F89" s="44">
        <f>C90/C$54</f>
        <v>0.1111111111111111</v>
      </c>
      <c r="H89" s="29" t="s">
        <v>1802</v>
      </c>
      <c r="I89">
        <v>0</v>
      </c>
      <c r="J89" s="35">
        <f t="shared" si="4"/>
        <v>0</v>
      </c>
    </row>
    <row r="90" spans="1:10" ht="16" thickBot="1">
      <c r="A90" t="s">
        <v>1457</v>
      </c>
      <c r="C90">
        <v>5</v>
      </c>
      <c r="F90" s="98"/>
      <c r="H90" s="29" t="s">
        <v>1803</v>
      </c>
      <c r="I90">
        <v>0</v>
      </c>
      <c r="J90" s="35">
        <f t="shared" si="4"/>
        <v>0</v>
      </c>
    </row>
    <row r="91" spans="1:10" ht="16" thickBot="1">
      <c r="E91" s="27" t="s">
        <v>2429</v>
      </c>
      <c r="F91" s="97"/>
      <c r="H91" s="31" t="s">
        <v>1804</v>
      </c>
      <c r="I91" s="62">
        <v>0</v>
      </c>
      <c r="J91" s="36">
        <f t="shared" si="4"/>
        <v>0</v>
      </c>
    </row>
    <row r="92" spans="1:10">
      <c r="A92" t="s">
        <v>2429</v>
      </c>
      <c r="E92" s="29" t="s">
        <v>2430</v>
      </c>
      <c r="F92" s="43">
        <f>C93/C$90</f>
        <v>1</v>
      </c>
    </row>
    <row r="93" spans="1:10" ht="16" thickBot="1">
      <c r="A93" t="s">
        <v>2430</v>
      </c>
      <c r="C93">
        <v>5</v>
      </c>
      <c r="E93" s="31" t="s">
        <v>2431</v>
      </c>
      <c r="F93" s="44">
        <f>C94/C$90</f>
        <v>0</v>
      </c>
    </row>
    <row r="94" spans="1:10" ht="16" thickBot="1">
      <c r="A94" t="s">
        <v>2431</v>
      </c>
      <c r="C94">
        <v>0</v>
      </c>
      <c r="F94" s="93"/>
      <c r="H94" s="27" t="s">
        <v>1520</v>
      </c>
      <c r="I94" s="61">
        <v>13</v>
      </c>
      <c r="J94" s="47"/>
    </row>
    <row r="95" spans="1:10">
      <c r="C95" t="s">
        <v>1486</v>
      </c>
      <c r="E95" s="27" t="s">
        <v>1597</v>
      </c>
      <c r="F95" s="97"/>
      <c r="H95" s="29" t="s">
        <v>1808</v>
      </c>
      <c r="I95">
        <v>4</v>
      </c>
      <c r="J95" s="35">
        <f>I95/I$94</f>
        <v>0.30769230769230771</v>
      </c>
    </row>
    <row r="96" spans="1:10">
      <c r="A96" t="s">
        <v>1598</v>
      </c>
      <c r="E96" s="29" t="s">
        <v>1569</v>
      </c>
      <c r="F96" s="43">
        <f t="shared" ref="F96:F101" si="5">C97/C$54</f>
        <v>0.75555555555555554</v>
      </c>
      <c r="H96" s="29" t="s">
        <v>1809</v>
      </c>
      <c r="I96">
        <v>5</v>
      </c>
      <c r="J96" s="35">
        <f>I96/I$94</f>
        <v>0.38461538461538464</v>
      </c>
    </row>
    <row r="97" spans="1:10">
      <c r="A97" t="s">
        <v>1569</v>
      </c>
      <c r="C97">
        <v>34</v>
      </c>
      <c r="E97" s="29" t="s">
        <v>1571</v>
      </c>
      <c r="F97" s="43">
        <f t="shared" si="5"/>
        <v>2.2222222222222223E-2</v>
      </c>
      <c r="H97" s="29" t="s">
        <v>1810</v>
      </c>
      <c r="I97">
        <v>1</v>
      </c>
      <c r="J97" s="35">
        <f>I97/I$94</f>
        <v>7.6923076923076927E-2</v>
      </c>
    </row>
    <row r="98" spans="1:10" ht="16" thickBot="1">
      <c r="A98" t="s">
        <v>1571</v>
      </c>
      <c r="C98">
        <v>1</v>
      </c>
      <c r="E98" s="29" t="s">
        <v>1572</v>
      </c>
      <c r="F98" s="43">
        <f t="shared" si="5"/>
        <v>0</v>
      </c>
      <c r="H98" s="31" t="s">
        <v>1811</v>
      </c>
      <c r="I98" s="62">
        <v>3</v>
      </c>
      <c r="J98" s="36">
        <f>I98/I$94</f>
        <v>0.23076923076923078</v>
      </c>
    </row>
    <row r="99" spans="1:10">
      <c r="A99" t="s">
        <v>1572</v>
      </c>
      <c r="C99">
        <v>0</v>
      </c>
      <c r="E99" s="29" t="s">
        <v>1573</v>
      </c>
      <c r="F99" s="43">
        <f t="shared" si="5"/>
        <v>0</v>
      </c>
    </row>
    <row r="100" spans="1:10" ht="16" thickBot="1">
      <c r="A100" t="s">
        <v>1573</v>
      </c>
      <c r="C100">
        <v>0</v>
      </c>
      <c r="E100" s="29" t="s">
        <v>1570</v>
      </c>
      <c r="F100" s="43">
        <f t="shared" si="5"/>
        <v>0.1111111111111111</v>
      </c>
    </row>
    <row r="101" spans="1:10" ht="16" thickBot="1">
      <c r="A101" t="s">
        <v>1570</v>
      </c>
      <c r="C101">
        <v>5</v>
      </c>
      <c r="E101" s="31" t="s">
        <v>1574</v>
      </c>
      <c r="F101" s="44">
        <f t="shared" si="5"/>
        <v>8.8888888888888892E-2</v>
      </c>
      <c r="H101" s="27" t="s">
        <v>1574</v>
      </c>
      <c r="I101" s="61">
        <v>10</v>
      </c>
      <c r="J101" s="47"/>
    </row>
    <row r="102" spans="1:10" ht="16" thickBot="1">
      <c r="A102" t="s">
        <v>1574</v>
      </c>
      <c r="C102">
        <v>4</v>
      </c>
      <c r="F102" s="93"/>
      <c r="H102" s="29" t="s">
        <v>1812</v>
      </c>
      <c r="I102">
        <v>1</v>
      </c>
      <c r="J102" s="35">
        <f>I102/I$101</f>
        <v>0.1</v>
      </c>
    </row>
    <row r="103" spans="1:10">
      <c r="E103" s="27" t="s">
        <v>1551</v>
      </c>
      <c r="F103" s="97"/>
      <c r="H103" s="29" t="s">
        <v>1813</v>
      </c>
      <c r="I103">
        <v>0</v>
      </c>
      <c r="J103" s="35">
        <f t="shared" ref="J103:J108" si="6">I103/I$101</f>
        <v>0</v>
      </c>
    </row>
    <row r="104" spans="1:10">
      <c r="A104" t="s">
        <v>1540</v>
      </c>
      <c r="C104">
        <v>4</v>
      </c>
      <c r="E104" s="29" t="s">
        <v>1506</v>
      </c>
      <c r="F104" s="43">
        <f t="shared" ref="F104:F109" si="7">C105/C$54</f>
        <v>0.66666666666666663</v>
      </c>
      <c r="H104" s="29" t="s">
        <v>1814</v>
      </c>
      <c r="I104">
        <v>0</v>
      </c>
      <c r="J104" s="35">
        <f t="shared" si="6"/>
        <v>0</v>
      </c>
    </row>
    <row r="105" spans="1:10">
      <c r="A105" t="s">
        <v>1506</v>
      </c>
      <c r="C105">
        <v>30</v>
      </c>
      <c r="E105" s="29" t="s">
        <v>1503</v>
      </c>
      <c r="F105" s="43">
        <f t="shared" si="7"/>
        <v>0.22222222222222221</v>
      </c>
      <c r="H105" s="29" t="s">
        <v>1716</v>
      </c>
      <c r="I105">
        <v>0</v>
      </c>
      <c r="J105" s="35">
        <f t="shared" si="6"/>
        <v>0</v>
      </c>
    </row>
    <row r="106" spans="1:10">
      <c r="A106" t="s">
        <v>1503</v>
      </c>
      <c r="C106">
        <v>10</v>
      </c>
      <c r="E106" s="29" t="s">
        <v>1502</v>
      </c>
      <c r="F106" s="43">
        <f t="shared" si="7"/>
        <v>4.4444444444444446E-2</v>
      </c>
      <c r="H106" s="29" t="s">
        <v>1815</v>
      </c>
      <c r="I106">
        <v>6</v>
      </c>
      <c r="J106" s="35">
        <f t="shared" si="6"/>
        <v>0.6</v>
      </c>
    </row>
    <row r="107" spans="1:10">
      <c r="A107" t="s">
        <v>1502</v>
      </c>
      <c r="C107">
        <v>2</v>
      </c>
      <c r="E107" s="29" t="s">
        <v>1507</v>
      </c>
      <c r="F107" s="43">
        <f t="shared" si="7"/>
        <v>4.4444444444444446E-2</v>
      </c>
      <c r="H107" s="29" t="s">
        <v>1859</v>
      </c>
      <c r="I107">
        <v>2</v>
      </c>
      <c r="J107" s="35">
        <f t="shared" si="6"/>
        <v>0.2</v>
      </c>
    </row>
    <row r="108" spans="1:10" ht="16" thickBot="1">
      <c r="A108" t="s">
        <v>1507</v>
      </c>
      <c r="C108">
        <v>2</v>
      </c>
      <c r="E108" s="29" t="s">
        <v>1505</v>
      </c>
      <c r="F108" s="43">
        <f t="shared" si="7"/>
        <v>0</v>
      </c>
      <c r="H108" s="31" t="s">
        <v>1820</v>
      </c>
      <c r="I108" s="62">
        <v>1</v>
      </c>
      <c r="J108" s="36">
        <f t="shared" si="6"/>
        <v>0.1</v>
      </c>
    </row>
    <row r="109" spans="1:10" ht="16" thickBot="1">
      <c r="A109" t="s">
        <v>1505</v>
      </c>
      <c r="C109">
        <v>0</v>
      </c>
      <c r="E109" s="31" t="s">
        <v>1504</v>
      </c>
      <c r="F109" s="44">
        <f t="shared" si="7"/>
        <v>0</v>
      </c>
    </row>
    <row r="110" spans="1:10">
      <c r="A110" t="s">
        <v>1504</v>
      </c>
      <c r="C110">
        <v>0</v>
      </c>
    </row>
  </sheetData>
  <mergeCells count="1">
    <mergeCell ref="A50:F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3"/>
  <sheetViews>
    <sheetView topLeftCell="A39" workbookViewId="0">
      <selection activeCell="F95" sqref="F95:F96"/>
    </sheetView>
  </sheetViews>
  <sheetFormatPr baseColWidth="10" defaultRowHeight="15"/>
  <cols>
    <col min="2" max="2" width="35" customWidth="1"/>
    <col min="7" max="7" width="51" customWidth="1"/>
    <col min="8" max="8" width="52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44378</v>
      </c>
      <c r="B2" t="s">
        <v>800</v>
      </c>
      <c r="C2" t="s">
        <v>1503</v>
      </c>
      <c r="D2" t="s">
        <v>1509</v>
      </c>
      <c r="E2" t="s">
        <v>18</v>
      </c>
      <c r="F2" s="8">
        <v>1082.4000000000001</v>
      </c>
      <c r="G2" t="s">
        <v>803</v>
      </c>
      <c r="H2" t="s">
        <v>789</v>
      </c>
    </row>
    <row r="3" spans="1:8">
      <c r="A3" s="6">
        <v>44379</v>
      </c>
      <c r="B3" t="s">
        <v>811</v>
      </c>
      <c r="C3" t="s">
        <v>1506</v>
      </c>
      <c r="D3" t="s">
        <v>1509</v>
      </c>
      <c r="E3" t="s">
        <v>18</v>
      </c>
      <c r="F3" s="8">
        <v>914.85</v>
      </c>
      <c r="G3" t="s">
        <v>1681</v>
      </c>
      <c r="H3" t="s">
        <v>798</v>
      </c>
    </row>
    <row r="4" spans="1:8">
      <c r="A4" s="6">
        <v>44379</v>
      </c>
      <c r="B4" t="s">
        <v>816</v>
      </c>
      <c r="C4" t="s">
        <v>1506</v>
      </c>
      <c r="D4" t="s">
        <v>1509</v>
      </c>
      <c r="E4" t="s">
        <v>18</v>
      </c>
      <c r="F4" s="8">
        <v>803.7</v>
      </c>
      <c r="G4" t="s">
        <v>68</v>
      </c>
      <c r="H4" t="s">
        <v>865</v>
      </c>
    </row>
    <row r="5" spans="1:8">
      <c r="A5" s="6">
        <v>44380</v>
      </c>
      <c r="B5" t="s">
        <v>820</v>
      </c>
      <c r="C5" t="s">
        <v>1506</v>
      </c>
      <c r="D5" t="s">
        <v>1509</v>
      </c>
      <c r="E5" t="s">
        <v>18</v>
      </c>
      <c r="F5" s="8">
        <v>1361.35</v>
      </c>
      <c r="G5" t="s">
        <v>823</v>
      </c>
      <c r="H5" t="s">
        <v>571</v>
      </c>
    </row>
    <row r="6" spans="1:8">
      <c r="A6" s="6">
        <v>44382</v>
      </c>
      <c r="B6" t="s">
        <v>826</v>
      </c>
      <c r="C6" t="s">
        <v>1506</v>
      </c>
      <c r="D6" t="s">
        <v>1509</v>
      </c>
      <c r="E6" t="s">
        <v>18</v>
      </c>
      <c r="F6" s="8">
        <v>1311</v>
      </c>
      <c r="G6" t="s">
        <v>829</v>
      </c>
      <c r="H6" t="s">
        <v>835</v>
      </c>
    </row>
    <row r="7" spans="1:8">
      <c r="A7" s="6">
        <v>44382</v>
      </c>
      <c r="B7" t="s">
        <v>831</v>
      </c>
      <c r="C7" t="s">
        <v>1506</v>
      </c>
      <c r="D7" t="s">
        <v>1509</v>
      </c>
      <c r="E7" t="s">
        <v>18</v>
      </c>
      <c r="F7" s="8">
        <v>649.79999999999995</v>
      </c>
      <c r="G7" t="s">
        <v>84</v>
      </c>
      <c r="H7" t="s">
        <v>824</v>
      </c>
    </row>
    <row r="8" spans="1:8">
      <c r="A8" s="6">
        <v>44383</v>
      </c>
      <c r="B8" t="s">
        <v>838</v>
      </c>
      <c r="C8" t="s">
        <v>1506</v>
      </c>
      <c r="D8" t="s">
        <v>1509</v>
      </c>
      <c r="E8" t="s">
        <v>18</v>
      </c>
      <c r="F8" s="8">
        <v>2500</v>
      </c>
      <c r="G8" t="s">
        <v>841</v>
      </c>
      <c r="H8" t="s">
        <v>836</v>
      </c>
    </row>
    <row r="9" spans="1:8">
      <c r="A9" s="6">
        <v>44383</v>
      </c>
      <c r="B9" t="s">
        <v>843</v>
      </c>
      <c r="C9" t="s">
        <v>1506</v>
      </c>
      <c r="D9" t="s">
        <v>1509</v>
      </c>
      <c r="E9" t="s">
        <v>18</v>
      </c>
      <c r="F9" s="8">
        <v>1223.5999999999999</v>
      </c>
      <c r="G9" t="s">
        <v>846</v>
      </c>
      <c r="H9" t="s">
        <v>403</v>
      </c>
    </row>
    <row r="10" spans="1:8">
      <c r="A10" s="6">
        <v>44384</v>
      </c>
      <c r="B10" t="s">
        <v>854</v>
      </c>
      <c r="C10" t="s">
        <v>1506</v>
      </c>
      <c r="D10" t="s">
        <v>1509</v>
      </c>
      <c r="E10" t="s">
        <v>18</v>
      </c>
      <c r="F10" s="8">
        <v>535.79999999999995</v>
      </c>
      <c r="G10" t="s">
        <v>857</v>
      </c>
      <c r="H10" t="s">
        <v>864</v>
      </c>
    </row>
    <row r="11" spans="1:8">
      <c r="A11" s="6">
        <v>44384</v>
      </c>
      <c r="B11" t="s">
        <v>859</v>
      </c>
      <c r="C11" t="s">
        <v>1507</v>
      </c>
      <c r="D11" t="s">
        <v>1509</v>
      </c>
      <c r="E11" t="s">
        <v>18</v>
      </c>
      <c r="F11" s="8">
        <v>1077.3</v>
      </c>
      <c r="G11" t="s">
        <v>862</v>
      </c>
      <c r="H11" t="s">
        <v>588</v>
      </c>
    </row>
    <row r="12" spans="1:8">
      <c r="A12" s="6">
        <v>44385</v>
      </c>
      <c r="B12" t="s">
        <v>866</v>
      </c>
      <c r="C12" t="s">
        <v>1506</v>
      </c>
      <c r="D12" t="s">
        <v>1509</v>
      </c>
      <c r="E12" t="s">
        <v>18</v>
      </c>
      <c r="F12" s="8">
        <v>1249.4000000000001</v>
      </c>
      <c r="G12" t="s">
        <v>869</v>
      </c>
      <c r="H12" t="s">
        <v>852</v>
      </c>
    </row>
    <row r="13" spans="1:8">
      <c r="A13" s="6">
        <v>44386</v>
      </c>
      <c r="B13" t="s">
        <v>872</v>
      </c>
      <c r="C13" t="s">
        <v>1503</v>
      </c>
      <c r="D13" t="s">
        <v>1509</v>
      </c>
      <c r="E13" t="s">
        <v>18</v>
      </c>
      <c r="F13" s="8">
        <v>632.70000000000005</v>
      </c>
      <c r="G13" t="s">
        <v>875</v>
      </c>
      <c r="H13" t="s">
        <v>863</v>
      </c>
    </row>
    <row r="14" spans="1:8">
      <c r="A14" s="6">
        <v>44386</v>
      </c>
      <c r="B14" t="s">
        <v>877</v>
      </c>
      <c r="C14" t="s">
        <v>1502</v>
      </c>
      <c r="D14" t="s">
        <v>1509</v>
      </c>
      <c r="E14" t="s">
        <v>18</v>
      </c>
      <c r="F14" s="8">
        <v>1426.5</v>
      </c>
      <c r="G14" t="s">
        <v>880</v>
      </c>
      <c r="H14" t="s">
        <v>870</v>
      </c>
    </row>
    <row r="15" spans="1:8">
      <c r="A15" s="6">
        <v>44387</v>
      </c>
      <c r="B15" t="s">
        <v>882</v>
      </c>
      <c r="C15" t="s">
        <v>1503</v>
      </c>
      <c r="D15" t="s">
        <v>1509</v>
      </c>
      <c r="E15" t="s">
        <v>18</v>
      </c>
      <c r="F15" s="8">
        <v>716.4</v>
      </c>
      <c r="G15" t="s">
        <v>885</v>
      </c>
      <c r="H15" t="s">
        <v>403</v>
      </c>
    </row>
    <row r="16" spans="1:8">
      <c r="A16" s="6">
        <v>44389</v>
      </c>
      <c r="B16" t="s">
        <v>896</v>
      </c>
      <c r="C16" t="s">
        <v>1506</v>
      </c>
      <c r="D16" t="s">
        <v>1510</v>
      </c>
      <c r="E16" t="s">
        <v>18</v>
      </c>
      <c r="F16" s="8">
        <v>1125.71</v>
      </c>
      <c r="G16" t="s">
        <v>897</v>
      </c>
      <c r="H16" t="s">
        <v>908</v>
      </c>
    </row>
    <row r="17" spans="1:8">
      <c r="A17" s="6">
        <v>44389</v>
      </c>
      <c r="B17" t="s">
        <v>900</v>
      </c>
      <c r="C17" t="s">
        <v>1506</v>
      </c>
      <c r="D17" t="s">
        <v>1509</v>
      </c>
      <c r="E17" t="s">
        <v>18</v>
      </c>
      <c r="F17" s="8">
        <v>1111</v>
      </c>
      <c r="G17" t="s">
        <v>903</v>
      </c>
      <c r="H17" t="s">
        <v>1457</v>
      </c>
    </row>
    <row r="18" spans="1:8">
      <c r="A18" s="6">
        <v>44390</v>
      </c>
      <c r="B18" t="s">
        <v>910</v>
      </c>
      <c r="C18" t="s">
        <v>1506</v>
      </c>
      <c r="D18" t="s">
        <v>1509</v>
      </c>
      <c r="E18" t="s">
        <v>18</v>
      </c>
      <c r="F18" s="8">
        <v>621.9</v>
      </c>
      <c r="G18" t="s">
        <v>913</v>
      </c>
      <c r="H18" t="s">
        <v>898</v>
      </c>
    </row>
    <row r="19" spans="1:8">
      <c r="A19" s="6">
        <v>44391</v>
      </c>
      <c r="B19" t="s">
        <v>2416</v>
      </c>
      <c r="C19" t="s">
        <v>1502</v>
      </c>
      <c r="D19" t="s">
        <v>1509</v>
      </c>
      <c r="E19" t="s">
        <v>18</v>
      </c>
      <c r="F19" s="8">
        <v>819</v>
      </c>
      <c r="G19" t="s">
        <v>587</v>
      </c>
      <c r="H19" t="s">
        <v>281</v>
      </c>
    </row>
    <row r="20" spans="1:8">
      <c r="A20" s="6">
        <v>44392</v>
      </c>
      <c r="B20" t="s">
        <v>919</v>
      </c>
      <c r="C20" t="s">
        <v>1506</v>
      </c>
      <c r="D20" t="s">
        <v>1509</v>
      </c>
      <c r="E20" t="s">
        <v>18</v>
      </c>
      <c r="F20" s="8">
        <v>1346.15</v>
      </c>
      <c r="G20" t="s">
        <v>922</v>
      </c>
      <c r="H20" t="s">
        <v>403</v>
      </c>
    </row>
    <row r="21" spans="1:8">
      <c r="A21" s="6">
        <v>44393</v>
      </c>
      <c r="B21" t="s">
        <v>924</v>
      </c>
      <c r="C21" t="s">
        <v>1506</v>
      </c>
      <c r="D21" t="s">
        <v>1509</v>
      </c>
      <c r="E21" t="s">
        <v>18</v>
      </c>
      <c r="F21" s="8">
        <v>1311</v>
      </c>
      <c r="G21" t="s">
        <v>829</v>
      </c>
      <c r="H21" t="s">
        <v>914</v>
      </c>
    </row>
    <row r="22" spans="1:8">
      <c r="A22" s="6">
        <v>44396</v>
      </c>
      <c r="B22" t="s">
        <v>929</v>
      </c>
      <c r="C22" t="s">
        <v>1503</v>
      </c>
      <c r="D22" t="s">
        <v>1509</v>
      </c>
      <c r="E22" t="s">
        <v>18</v>
      </c>
      <c r="F22" s="8">
        <v>1262</v>
      </c>
      <c r="G22" t="s">
        <v>932</v>
      </c>
      <c r="H22" t="s">
        <v>652</v>
      </c>
    </row>
    <row r="23" spans="1:8">
      <c r="A23" s="6">
        <v>44378</v>
      </c>
      <c r="B23" t="s">
        <v>936</v>
      </c>
      <c r="C23" t="s">
        <v>1506</v>
      </c>
      <c r="D23" t="s">
        <v>1509</v>
      </c>
      <c r="E23" t="s">
        <v>18</v>
      </c>
      <c r="F23" s="8">
        <v>1587.7</v>
      </c>
      <c r="G23" t="s">
        <v>939</v>
      </c>
      <c r="H23" t="s">
        <v>927</v>
      </c>
    </row>
    <row r="24" spans="1:8">
      <c r="A24" s="6">
        <v>44383</v>
      </c>
      <c r="B24" t="s">
        <v>1233</v>
      </c>
      <c r="C24" t="s">
        <v>1506</v>
      </c>
      <c r="D24" t="s">
        <v>1509</v>
      </c>
      <c r="E24" t="s">
        <v>18</v>
      </c>
      <c r="F24" s="8">
        <v>819</v>
      </c>
      <c r="G24" t="s">
        <v>1496</v>
      </c>
      <c r="H24" t="s">
        <v>957</v>
      </c>
    </row>
    <row r="25" spans="1:8">
      <c r="A25" s="6">
        <v>44394</v>
      </c>
      <c r="B25" t="s">
        <v>943</v>
      </c>
      <c r="C25" t="s">
        <v>1503</v>
      </c>
      <c r="D25" t="s">
        <v>1509</v>
      </c>
      <c r="E25" t="s">
        <v>18</v>
      </c>
      <c r="F25" s="8">
        <v>1109.5999999999999</v>
      </c>
      <c r="G25" t="s">
        <v>946</v>
      </c>
      <c r="H25" t="s">
        <v>1457</v>
      </c>
    </row>
    <row r="26" spans="1:8">
      <c r="A26" s="6">
        <v>44397</v>
      </c>
      <c r="B26" t="s">
        <v>26</v>
      </c>
      <c r="C26" t="s">
        <v>1503</v>
      </c>
      <c r="D26" t="s">
        <v>1509</v>
      </c>
      <c r="E26" t="s">
        <v>1455</v>
      </c>
      <c r="F26" s="8">
        <v>2878.46</v>
      </c>
      <c r="G26" t="s">
        <v>1456</v>
      </c>
      <c r="H26" t="s">
        <v>958</v>
      </c>
    </row>
    <row r="27" spans="1:8">
      <c r="A27" s="6">
        <v>44397</v>
      </c>
      <c r="B27" t="s">
        <v>947</v>
      </c>
      <c r="C27" t="s">
        <v>1506</v>
      </c>
      <c r="D27" t="s">
        <v>1509</v>
      </c>
      <c r="E27" t="s">
        <v>18</v>
      </c>
      <c r="F27" s="8">
        <v>669.75</v>
      </c>
      <c r="G27" t="s">
        <v>950</v>
      </c>
      <c r="H27" t="s">
        <v>403</v>
      </c>
    </row>
    <row r="28" spans="1:8">
      <c r="A28" s="6">
        <v>44379</v>
      </c>
      <c r="B28" t="s">
        <v>805</v>
      </c>
      <c r="C28" t="s">
        <v>1506</v>
      </c>
      <c r="D28" t="s">
        <v>1509</v>
      </c>
      <c r="E28" t="s">
        <v>1455</v>
      </c>
      <c r="F28" s="8">
        <v>884</v>
      </c>
      <c r="G28" t="s">
        <v>1298</v>
      </c>
      <c r="H28" t="s">
        <v>959</v>
      </c>
    </row>
    <row r="29" spans="1:8">
      <c r="A29" s="6">
        <v>44398</v>
      </c>
      <c r="B29" t="s">
        <v>953</v>
      </c>
      <c r="C29" t="s">
        <v>1506</v>
      </c>
      <c r="D29" t="s">
        <v>1509</v>
      </c>
      <c r="E29" t="s">
        <v>18</v>
      </c>
      <c r="F29" s="8">
        <v>741.6</v>
      </c>
      <c r="G29" t="s">
        <v>956</v>
      </c>
      <c r="H29" t="s">
        <v>1457</v>
      </c>
    </row>
    <row r="30" spans="1:8">
      <c r="A30" s="6">
        <v>44403</v>
      </c>
      <c r="B30" t="s">
        <v>962</v>
      </c>
      <c r="C30" t="s">
        <v>1506</v>
      </c>
      <c r="D30" t="s">
        <v>1509</v>
      </c>
      <c r="E30" t="s">
        <v>18</v>
      </c>
      <c r="F30" s="8">
        <v>1514</v>
      </c>
      <c r="G30" t="s">
        <v>1873</v>
      </c>
      <c r="H30" t="s">
        <v>960</v>
      </c>
    </row>
    <row r="31" spans="1:8">
      <c r="A31" s="6">
        <v>44403</v>
      </c>
      <c r="B31" t="s">
        <v>966</v>
      </c>
      <c r="C31" t="s">
        <v>1506</v>
      </c>
      <c r="D31" t="s">
        <v>1509</v>
      </c>
      <c r="E31" t="s">
        <v>18</v>
      </c>
      <c r="F31" s="8">
        <v>2229</v>
      </c>
      <c r="G31" t="s">
        <v>1891</v>
      </c>
      <c r="H31" t="s">
        <v>1457</v>
      </c>
    </row>
    <row r="32" spans="1:8">
      <c r="A32" s="6">
        <v>44404</v>
      </c>
      <c r="B32" t="s">
        <v>972</v>
      </c>
      <c r="C32" t="s">
        <v>1506</v>
      </c>
      <c r="D32" t="s">
        <v>1509</v>
      </c>
      <c r="E32" t="s">
        <v>18</v>
      </c>
      <c r="F32" s="8">
        <v>672</v>
      </c>
      <c r="G32" t="s">
        <v>975</v>
      </c>
      <c r="H32" t="s">
        <v>961</v>
      </c>
    </row>
    <row r="33" spans="1:8">
      <c r="A33" s="6">
        <v>44404</v>
      </c>
      <c r="B33" t="s">
        <v>978</v>
      </c>
      <c r="C33" t="s">
        <v>1503</v>
      </c>
      <c r="D33" t="s">
        <v>1509</v>
      </c>
      <c r="E33" t="s">
        <v>18</v>
      </c>
      <c r="F33" s="8">
        <v>372</v>
      </c>
      <c r="G33" t="s">
        <v>981</v>
      </c>
      <c r="H33" t="s">
        <v>976</v>
      </c>
    </row>
    <row r="34" spans="1:8">
      <c r="A34" s="6">
        <v>44389</v>
      </c>
      <c r="B34" t="s">
        <v>984</v>
      </c>
      <c r="C34" t="s">
        <v>1506</v>
      </c>
      <c r="D34" t="s">
        <v>1509</v>
      </c>
      <c r="E34" t="s">
        <v>18</v>
      </c>
      <c r="F34" s="8">
        <v>700</v>
      </c>
      <c r="G34" t="s">
        <v>987</v>
      </c>
      <c r="H34" t="s">
        <v>970</v>
      </c>
    </row>
    <row r="35" spans="1:8">
      <c r="A35" s="6">
        <v>44391</v>
      </c>
      <c r="B35" t="s">
        <v>989</v>
      </c>
      <c r="C35" t="s">
        <v>1505</v>
      </c>
      <c r="D35" t="s">
        <v>1509</v>
      </c>
      <c r="E35" t="s">
        <v>18</v>
      </c>
      <c r="F35" s="8">
        <v>1993.5</v>
      </c>
      <c r="G35" t="s">
        <v>992</v>
      </c>
      <c r="H35" t="s">
        <v>403</v>
      </c>
    </row>
    <row r="36" spans="1:8">
      <c r="A36" s="6">
        <v>44405</v>
      </c>
      <c r="B36" t="s">
        <v>994</v>
      </c>
      <c r="C36" t="s">
        <v>1503</v>
      </c>
      <c r="D36" t="s">
        <v>1509</v>
      </c>
      <c r="E36" t="s">
        <v>18</v>
      </c>
      <c r="F36" s="8">
        <v>618</v>
      </c>
      <c r="G36" t="s">
        <v>956</v>
      </c>
      <c r="H36" t="s">
        <v>982</v>
      </c>
    </row>
    <row r="37" spans="1:8">
      <c r="A37" s="6">
        <v>44405</v>
      </c>
      <c r="B37" t="s">
        <v>998</v>
      </c>
      <c r="C37" t="s">
        <v>1507</v>
      </c>
      <c r="D37" t="s">
        <v>1509</v>
      </c>
      <c r="E37" t="s">
        <v>18</v>
      </c>
      <c r="F37" s="8">
        <v>780.9</v>
      </c>
      <c r="G37" t="s">
        <v>1001</v>
      </c>
      <c r="H37" t="s">
        <v>403</v>
      </c>
    </row>
    <row r="38" spans="1:8">
      <c r="A38" s="6">
        <v>44384</v>
      </c>
      <c r="B38" t="s">
        <v>1002</v>
      </c>
      <c r="C38" t="s">
        <v>1506</v>
      </c>
      <c r="D38" t="s">
        <v>1509</v>
      </c>
      <c r="E38" t="s">
        <v>18</v>
      </c>
      <c r="F38" s="8">
        <v>2296.4899999999998</v>
      </c>
      <c r="G38" t="s">
        <v>1679</v>
      </c>
      <c r="H38" t="s">
        <v>747</v>
      </c>
    </row>
    <row r="39" spans="1:8">
      <c r="A39" s="6">
        <v>44397</v>
      </c>
      <c r="B39" t="s">
        <v>1009</v>
      </c>
      <c r="C39" t="s">
        <v>1506</v>
      </c>
      <c r="D39" t="s">
        <v>1509</v>
      </c>
      <c r="E39" t="s">
        <v>18</v>
      </c>
      <c r="F39" s="8">
        <v>950</v>
      </c>
      <c r="G39" t="s">
        <v>987</v>
      </c>
      <c r="H39" t="s">
        <v>403</v>
      </c>
    </row>
    <row r="40" spans="1:8">
      <c r="A40" s="6">
        <v>44406</v>
      </c>
      <c r="B40" t="s">
        <v>1014</v>
      </c>
      <c r="C40" t="s">
        <v>1503</v>
      </c>
      <c r="D40" t="s">
        <v>1509</v>
      </c>
      <c r="E40" t="s">
        <v>18</v>
      </c>
      <c r="F40" s="8">
        <v>963</v>
      </c>
      <c r="G40" t="s">
        <v>1017</v>
      </c>
      <c r="H40" t="s">
        <v>1007</v>
      </c>
    </row>
    <row r="41" spans="1:8">
      <c r="A41" s="6">
        <v>44406</v>
      </c>
      <c r="B41" t="s">
        <v>515</v>
      </c>
      <c r="C41" t="s">
        <v>1506</v>
      </c>
      <c r="D41" t="s">
        <v>1510</v>
      </c>
      <c r="E41" t="s">
        <v>1455</v>
      </c>
      <c r="F41" s="8">
        <v>2192.31</v>
      </c>
      <c r="G41" t="s">
        <v>1483</v>
      </c>
      <c r="H41" t="s">
        <v>1006</v>
      </c>
    </row>
    <row r="42" spans="1:8">
      <c r="A42" s="6">
        <v>44408</v>
      </c>
      <c r="B42" t="s">
        <v>1019</v>
      </c>
      <c r="C42" t="s">
        <v>1506</v>
      </c>
      <c r="D42" t="s">
        <v>1509</v>
      </c>
      <c r="E42" t="s">
        <v>18</v>
      </c>
      <c r="F42" s="8">
        <v>1072.8</v>
      </c>
      <c r="G42" t="s">
        <v>1022</v>
      </c>
      <c r="H42" t="s">
        <v>1012</v>
      </c>
    </row>
    <row r="43" spans="1:8">
      <c r="A43" s="6">
        <v>44407</v>
      </c>
      <c r="B43" t="s">
        <v>1025</v>
      </c>
      <c r="C43" t="s">
        <v>1506</v>
      </c>
      <c r="D43" t="s">
        <v>1509</v>
      </c>
      <c r="E43" t="s">
        <v>18</v>
      </c>
      <c r="F43" s="8">
        <v>1287.25</v>
      </c>
      <c r="G43" t="s">
        <v>1028</v>
      </c>
      <c r="H43" t="s">
        <v>1018</v>
      </c>
    </row>
    <row r="44" spans="1:8">
      <c r="A44" s="6">
        <v>44407</v>
      </c>
      <c r="B44" t="s">
        <v>1031</v>
      </c>
      <c r="C44" t="s">
        <v>1506</v>
      </c>
      <c r="D44" t="s">
        <v>1510</v>
      </c>
      <c r="E44" t="s">
        <v>18</v>
      </c>
      <c r="F44" s="8">
        <v>1874.5</v>
      </c>
      <c r="G44" t="s">
        <v>1034</v>
      </c>
      <c r="H44" t="s">
        <v>1457</v>
      </c>
    </row>
    <row r="45" spans="1:8">
      <c r="A45" s="6">
        <v>44394</v>
      </c>
      <c r="B45" t="s">
        <v>904</v>
      </c>
      <c r="C45" t="s">
        <v>1506</v>
      </c>
      <c r="D45" t="s">
        <v>1509</v>
      </c>
      <c r="E45" t="s">
        <v>1455</v>
      </c>
      <c r="F45" s="8">
        <v>833.76</v>
      </c>
      <c r="G45" t="s">
        <v>1494</v>
      </c>
      <c r="H45" t="s">
        <v>1045</v>
      </c>
    </row>
    <row r="46" spans="1:8">
      <c r="A46" s="6">
        <v>44403</v>
      </c>
      <c r="B46" t="s">
        <v>1067</v>
      </c>
      <c r="C46" t="s">
        <v>1506</v>
      </c>
      <c r="D46" t="s">
        <v>1509</v>
      </c>
      <c r="E46" t="s">
        <v>18</v>
      </c>
      <c r="F46" s="8">
        <v>670</v>
      </c>
      <c r="G46" t="s">
        <v>1070</v>
      </c>
      <c r="H46" t="s">
        <v>1062</v>
      </c>
    </row>
    <row r="47" spans="1:8">
      <c r="A47" s="6">
        <v>44391</v>
      </c>
      <c r="B47" t="s">
        <v>28</v>
      </c>
      <c r="C47" t="s">
        <v>1506</v>
      </c>
      <c r="D47" t="s">
        <v>1509</v>
      </c>
      <c r="E47" t="s">
        <v>1455</v>
      </c>
      <c r="F47" s="8">
        <v>1986.47</v>
      </c>
      <c r="G47" t="s">
        <v>1458</v>
      </c>
      <c r="H47" t="s">
        <v>727</v>
      </c>
    </row>
    <row r="48" spans="1:8">
      <c r="A48" s="6">
        <v>44404</v>
      </c>
      <c r="B48" t="s">
        <v>1092</v>
      </c>
      <c r="C48" t="s">
        <v>1506</v>
      </c>
      <c r="D48" t="s">
        <v>1509</v>
      </c>
      <c r="E48" t="s">
        <v>18</v>
      </c>
      <c r="F48" s="8">
        <v>3115.18</v>
      </c>
      <c r="G48" t="s">
        <v>1680</v>
      </c>
      <c r="H48" t="s">
        <v>403</v>
      </c>
    </row>
    <row r="49" spans="1:10">
      <c r="A49" s="6">
        <v>44403</v>
      </c>
      <c r="B49" t="s">
        <v>962</v>
      </c>
      <c r="C49" t="s">
        <v>1506</v>
      </c>
      <c r="D49" t="s">
        <v>1509</v>
      </c>
      <c r="E49" t="s">
        <v>1455</v>
      </c>
      <c r="F49" s="8">
        <v>767</v>
      </c>
      <c r="G49" t="s">
        <v>1467</v>
      </c>
      <c r="H49" t="s">
        <v>1169</v>
      </c>
    </row>
    <row r="53" spans="1:10" ht="16" thickBot="1">
      <c r="A53" s="106" t="s">
        <v>1541</v>
      </c>
      <c r="B53" s="106"/>
      <c r="C53" s="106"/>
      <c r="D53" s="106"/>
      <c r="E53" s="106"/>
      <c r="F53" s="106"/>
    </row>
    <row r="54" spans="1:10">
      <c r="A54" t="s">
        <v>1513</v>
      </c>
      <c r="C54" s="8">
        <f>SUM(F2:F49)</f>
        <v>58659.83</v>
      </c>
      <c r="E54" s="27" t="s">
        <v>1546</v>
      </c>
      <c r="F54" s="28"/>
      <c r="H54" s="27" t="s">
        <v>1515</v>
      </c>
      <c r="I54" s="61">
        <v>18</v>
      </c>
      <c r="J54" s="47"/>
    </row>
    <row r="55" spans="1:10">
      <c r="E55" s="29" t="s">
        <v>1552</v>
      </c>
      <c r="F55" s="50">
        <v>58659.83</v>
      </c>
      <c r="H55" s="29" t="s">
        <v>1768</v>
      </c>
      <c r="I55">
        <v>1</v>
      </c>
      <c r="J55" s="35">
        <f>I55/I$54</f>
        <v>5.5555555555555552E-2</v>
      </c>
    </row>
    <row r="56" spans="1:10" ht="16" thickBot="1">
      <c r="A56" t="s">
        <v>1545</v>
      </c>
      <c r="C56">
        <v>24</v>
      </c>
      <c r="E56" s="31" t="s">
        <v>1553</v>
      </c>
      <c r="F56" s="51">
        <f>C54/C56</f>
        <v>2444.1595833333336</v>
      </c>
      <c r="H56" s="29" t="s">
        <v>1769</v>
      </c>
      <c r="I56">
        <v>17</v>
      </c>
      <c r="J56" s="35">
        <f>I56/I$54</f>
        <v>0.94444444444444442</v>
      </c>
    </row>
    <row r="57" spans="1:10" ht="16" thickBot="1">
      <c r="A57" t="s">
        <v>1758</v>
      </c>
      <c r="C57">
        <v>48</v>
      </c>
      <c r="H57" s="31" t="s">
        <v>1770</v>
      </c>
      <c r="I57" s="62">
        <v>0</v>
      </c>
      <c r="J57" s="36">
        <f>I57/I$54</f>
        <v>0</v>
      </c>
    </row>
    <row r="58" spans="1:10">
      <c r="D58" t="s">
        <v>1486</v>
      </c>
      <c r="E58" s="27" t="s">
        <v>1547</v>
      </c>
      <c r="F58" s="28"/>
    </row>
    <row r="59" spans="1:10" ht="16" thickBot="1">
      <c r="A59" t="s">
        <v>1511</v>
      </c>
      <c r="C59">
        <v>45</v>
      </c>
      <c r="D59" t="s">
        <v>1486</v>
      </c>
      <c r="E59" s="29" t="s">
        <v>1509</v>
      </c>
      <c r="F59" s="35">
        <f>C59/C$57</f>
        <v>0.9375</v>
      </c>
    </row>
    <row r="60" spans="1:10" ht="16" thickBot="1">
      <c r="A60" t="s">
        <v>1512</v>
      </c>
      <c r="C60">
        <v>3</v>
      </c>
      <c r="E60" s="31" t="s">
        <v>1510</v>
      </c>
      <c r="F60" s="36">
        <f>C60/C$57</f>
        <v>6.25E-2</v>
      </c>
      <c r="G60" t="s">
        <v>1486</v>
      </c>
      <c r="H60" s="27" t="s">
        <v>1807</v>
      </c>
      <c r="I60" s="61">
        <v>24</v>
      </c>
      <c r="J60" s="47"/>
    </row>
    <row r="61" spans="1:10" ht="16" thickBot="1">
      <c r="H61" s="29" t="s">
        <v>1771</v>
      </c>
      <c r="I61">
        <v>11</v>
      </c>
      <c r="J61" s="35">
        <f>I61/I$60</f>
        <v>0.45833333333333331</v>
      </c>
    </row>
    <row r="62" spans="1:10">
      <c r="A62" t="s">
        <v>1524</v>
      </c>
      <c r="E62" s="27" t="s">
        <v>1548</v>
      </c>
      <c r="F62" s="28"/>
      <c r="H62" s="29" t="s">
        <v>1772</v>
      </c>
      <c r="I62">
        <v>11</v>
      </c>
      <c r="J62" s="35">
        <f>I62/I$60</f>
        <v>0.45833333333333331</v>
      </c>
    </row>
    <row r="63" spans="1:10">
      <c r="A63" t="s">
        <v>1514</v>
      </c>
      <c r="C63">
        <v>1</v>
      </c>
      <c r="E63" s="29" t="s">
        <v>1514</v>
      </c>
      <c r="F63" s="35">
        <f>C63/C$72</f>
        <v>1.2658227848101266E-2</v>
      </c>
      <c r="H63" s="29" t="s">
        <v>1773</v>
      </c>
      <c r="I63">
        <v>2</v>
      </c>
      <c r="J63" s="35">
        <f>I63/I$60</f>
        <v>8.3333333333333329E-2</v>
      </c>
    </row>
    <row r="64" spans="1:10">
      <c r="A64" t="s">
        <v>1515</v>
      </c>
      <c r="C64">
        <v>18</v>
      </c>
      <c r="E64" s="29" t="s">
        <v>1515</v>
      </c>
      <c r="F64" s="35">
        <f t="shared" ref="F64:F71" si="0">C64/C$72</f>
        <v>0.22784810126582278</v>
      </c>
      <c r="H64" s="29"/>
      <c r="J64" s="35"/>
    </row>
    <row r="65" spans="1:10">
      <c r="A65" t="s">
        <v>1516</v>
      </c>
      <c r="C65">
        <v>24</v>
      </c>
      <c r="E65" s="29" t="s">
        <v>1516</v>
      </c>
      <c r="F65" s="35">
        <f t="shared" si="0"/>
        <v>0.30379746835443039</v>
      </c>
      <c r="H65" s="29" t="s">
        <v>1818</v>
      </c>
      <c r="I65">
        <v>2</v>
      </c>
      <c r="J65" s="35">
        <f t="shared" ref="J65:J71" si="1">I65/I$60</f>
        <v>8.3333333333333329E-2</v>
      </c>
    </row>
    <row r="66" spans="1:10">
      <c r="A66" t="s">
        <v>1517</v>
      </c>
      <c r="C66">
        <v>3</v>
      </c>
      <c r="E66" s="29" t="s">
        <v>1517</v>
      </c>
      <c r="F66" s="35">
        <f t="shared" si="0"/>
        <v>3.7974683544303799E-2</v>
      </c>
      <c r="H66" s="29" t="s">
        <v>1819</v>
      </c>
      <c r="I66">
        <v>4</v>
      </c>
      <c r="J66" s="35">
        <f t="shared" si="1"/>
        <v>0.16666666666666666</v>
      </c>
    </row>
    <row r="67" spans="1:10">
      <c r="A67" t="s">
        <v>1518</v>
      </c>
      <c r="C67">
        <v>10</v>
      </c>
      <c r="E67" s="29" t="s">
        <v>1518</v>
      </c>
      <c r="F67" s="35">
        <f t="shared" si="0"/>
        <v>0.12658227848101267</v>
      </c>
      <c r="H67" s="29" t="s">
        <v>1892</v>
      </c>
      <c r="I67">
        <v>1</v>
      </c>
      <c r="J67" s="35">
        <f t="shared" si="1"/>
        <v>4.1666666666666664E-2</v>
      </c>
    </row>
    <row r="68" spans="1:10">
      <c r="A68" t="s">
        <v>1519</v>
      </c>
      <c r="C68">
        <v>4</v>
      </c>
      <c r="E68" s="29" t="s">
        <v>1519</v>
      </c>
      <c r="F68" s="35">
        <f t="shared" si="0"/>
        <v>5.0632911392405063E-2</v>
      </c>
      <c r="H68" s="29" t="s">
        <v>1893</v>
      </c>
      <c r="I68">
        <v>5</v>
      </c>
      <c r="J68" s="35">
        <f t="shared" si="1"/>
        <v>0.20833333333333334</v>
      </c>
    </row>
    <row r="69" spans="1:10">
      <c r="A69" t="s">
        <v>1520</v>
      </c>
      <c r="C69">
        <v>9</v>
      </c>
      <c r="E69" s="29" t="s">
        <v>1520</v>
      </c>
      <c r="F69" s="35">
        <f t="shared" si="0"/>
        <v>0.11392405063291139</v>
      </c>
      <c r="H69" s="29" t="s">
        <v>1894</v>
      </c>
      <c r="I69">
        <v>3</v>
      </c>
      <c r="J69" s="35">
        <f t="shared" si="1"/>
        <v>0.125</v>
      </c>
    </row>
    <row r="70" spans="1:10">
      <c r="A70" t="s">
        <v>1522</v>
      </c>
      <c r="C70">
        <v>3</v>
      </c>
      <c r="E70" s="29" t="s">
        <v>1522</v>
      </c>
      <c r="F70" s="35">
        <f t="shared" si="0"/>
        <v>3.7974683544303799E-2</v>
      </c>
      <c r="H70" s="29" t="s">
        <v>1895</v>
      </c>
      <c r="I70">
        <v>8</v>
      </c>
      <c r="J70" s="35">
        <f t="shared" si="1"/>
        <v>0.33333333333333331</v>
      </c>
    </row>
    <row r="71" spans="1:10" ht="16" thickBot="1">
      <c r="A71" t="s">
        <v>1574</v>
      </c>
      <c r="C71">
        <v>7</v>
      </c>
      <c r="E71" s="31" t="s">
        <v>1574</v>
      </c>
      <c r="F71" s="36">
        <f t="shared" si="0"/>
        <v>8.8607594936708861E-2</v>
      </c>
      <c r="H71" s="31" t="s">
        <v>1817</v>
      </c>
      <c r="I71" s="62">
        <v>1</v>
      </c>
      <c r="J71" s="36">
        <f t="shared" si="1"/>
        <v>4.1666666666666664E-2</v>
      </c>
    </row>
    <row r="72" spans="1:10" ht="16" thickBot="1">
      <c r="A72" t="s">
        <v>1523</v>
      </c>
      <c r="C72">
        <f>SUM(C63:C71)</f>
        <v>79</v>
      </c>
    </row>
    <row r="73" spans="1:10" ht="16" thickBot="1">
      <c r="E73" s="27" t="s">
        <v>1549</v>
      </c>
      <c r="F73" s="28"/>
    </row>
    <row r="74" spans="1:10">
      <c r="A74" t="s">
        <v>1525</v>
      </c>
      <c r="E74" s="29" t="s">
        <v>1526</v>
      </c>
      <c r="F74" s="35">
        <f>C75/C$85</f>
        <v>0.30588235294117649</v>
      </c>
      <c r="H74" s="27" t="s">
        <v>1518</v>
      </c>
      <c r="I74" s="61">
        <v>10</v>
      </c>
      <c r="J74" s="47"/>
    </row>
    <row r="75" spans="1:10">
      <c r="A75" t="s">
        <v>1526</v>
      </c>
      <c r="C75">
        <v>26</v>
      </c>
      <c r="E75" s="29" t="s">
        <v>1527</v>
      </c>
      <c r="F75" s="35">
        <f t="shared" ref="F75:F83" si="2">C76/C$85</f>
        <v>0.18823529411764706</v>
      </c>
      <c r="H75" s="29" t="s">
        <v>1797</v>
      </c>
      <c r="I75">
        <v>3</v>
      </c>
      <c r="J75" s="35">
        <f>I75/I$74</f>
        <v>0.3</v>
      </c>
    </row>
    <row r="76" spans="1:10" ht="16" thickBot="1">
      <c r="A76" t="s">
        <v>1527</v>
      </c>
      <c r="C76">
        <v>16</v>
      </c>
      <c r="E76" s="29" t="s">
        <v>1528</v>
      </c>
      <c r="F76" s="35">
        <f t="shared" si="2"/>
        <v>0.17647058823529413</v>
      </c>
      <c r="G76" t="s">
        <v>1486</v>
      </c>
      <c r="H76" s="31" t="s">
        <v>1798</v>
      </c>
      <c r="I76" s="62">
        <v>7</v>
      </c>
      <c r="J76" s="36">
        <f>I76/I$74</f>
        <v>0.7</v>
      </c>
    </row>
    <row r="77" spans="1:10">
      <c r="A77" t="s">
        <v>1528</v>
      </c>
      <c r="C77">
        <v>15</v>
      </c>
      <c r="E77" s="29" t="s">
        <v>1529</v>
      </c>
      <c r="F77" s="35">
        <f t="shared" si="2"/>
        <v>9.4117647058823528E-2</v>
      </c>
    </row>
    <row r="78" spans="1:10" ht="16" thickBot="1">
      <c r="A78" t="s">
        <v>1529</v>
      </c>
      <c r="C78">
        <v>8</v>
      </c>
      <c r="E78" s="29" t="s">
        <v>1530</v>
      </c>
      <c r="F78" s="35">
        <f t="shared" si="2"/>
        <v>8.2352941176470587E-2</v>
      </c>
    </row>
    <row r="79" spans="1:10">
      <c r="A79" t="s">
        <v>1530</v>
      </c>
      <c r="C79">
        <v>7</v>
      </c>
      <c r="E79" s="29" t="s">
        <v>1531</v>
      </c>
      <c r="F79" s="35">
        <f t="shared" si="2"/>
        <v>1.1764705882352941E-2</v>
      </c>
      <c r="H79" s="27" t="s">
        <v>1805</v>
      </c>
      <c r="I79" s="61">
        <v>3</v>
      </c>
      <c r="J79" s="47"/>
    </row>
    <row r="80" spans="1:10">
      <c r="A80" t="s">
        <v>1531</v>
      </c>
      <c r="C80">
        <v>1</v>
      </c>
      <c r="E80" s="29" t="s">
        <v>1532</v>
      </c>
      <c r="F80" s="35">
        <f t="shared" si="2"/>
        <v>0</v>
      </c>
      <c r="H80" s="29" t="s">
        <v>1799</v>
      </c>
      <c r="I80">
        <v>2</v>
      </c>
      <c r="J80" s="35">
        <f t="shared" ref="J80:J85" si="3">I80/I$79</f>
        <v>0.66666666666666663</v>
      </c>
    </row>
    <row r="81" spans="1:10">
      <c r="A81" t="s">
        <v>1532</v>
      </c>
      <c r="C81">
        <v>0</v>
      </c>
      <c r="E81" s="29" t="s">
        <v>1533</v>
      </c>
      <c r="F81" s="35">
        <f t="shared" si="2"/>
        <v>1.1764705882352941E-2</v>
      </c>
      <c r="H81" s="29" t="s">
        <v>1800</v>
      </c>
      <c r="I81">
        <v>0</v>
      </c>
      <c r="J81" s="35">
        <f t="shared" si="3"/>
        <v>0</v>
      </c>
    </row>
    <row r="82" spans="1:10">
      <c r="A82" t="s">
        <v>1533</v>
      </c>
      <c r="C82">
        <v>1</v>
      </c>
      <c r="E82" s="29" t="s">
        <v>1534</v>
      </c>
      <c r="F82" s="35">
        <f t="shared" si="2"/>
        <v>4.7058823529411764E-2</v>
      </c>
      <c r="H82" s="29" t="s">
        <v>1801</v>
      </c>
      <c r="I82">
        <v>0</v>
      </c>
      <c r="J82" s="35">
        <f t="shared" si="3"/>
        <v>0</v>
      </c>
    </row>
    <row r="83" spans="1:10" ht="16" thickBot="1">
      <c r="A83" t="s">
        <v>1534</v>
      </c>
      <c r="C83">
        <v>4</v>
      </c>
      <c r="E83" s="31" t="s">
        <v>1521</v>
      </c>
      <c r="F83" s="36">
        <f t="shared" si="2"/>
        <v>8.2352941176470587E-2</v>
      </c>
      <c r="H83" s="29" t="s">
        <v>1802</v>
      </c>
      <c r="I83">
        <v>0</v>
      </c>
      <c r="J83" s="35">
        <f t="shared" si="3"/>
        <v>0</v>
      </c>
    </row>
    <row r="84" spans="1:10" ht="16" thickBot="1">
      <c r="A84" t="s">
        <v>1521</v>
      </c>
      <c r="C84">
        <v>7</v>
      </c>
      <c r="H84" s="29" t="s">
        <v>1803</v>
      </c>
      <c r="I84">
        <v>0</v>
      </c>
      <c r="J84" s="35">
        <f t="shared" si="3"/>
        <v>0</v>
      </c>
    </row>
    <row r="85" spans="1:10" ht="16" thickBot="1">
      <c r="A85" t="s">
        <v>1536</v>
      </c>
      <c r="C85">
        <f>SUM(C75:C84)</f>
        <v>85</v>
      </c>
      <c r="E85" s="27" t="s">
        <v>1550</v>
      </c>
      <c r="F85" s="28"/>
      <c r="H85" s="31" t="s">
        <v>1804</v>
      </c>
      <c r="I85" s="62">
        <v>1</v>
      </c>
      <c r="J85" s="36">
        <f t="shared" si="3"/>
        <v>0.33333333333333331</v>
      </c>
    </row>
    <row r="86" spans="1:10" ht="16" thickBot="1">
      <c r="E86" s="29" t="s">
        <v>1542</v>
      </c>
      <c r="F86" s="35">
        <f>C87/C$57</f>
        <v>0.5625</v>
      </c>
    </row>
    <row r="87" spans="1:10">
      <c r="A87" t="s">
        <v>1537</v>
      </c>
      <c r="C87">
        <v>27</v>
      </c>
      <c r="E87" s="29" t="s">
        <v>1543</v>
      </c>
      <c r="F87" s="35">
        <f>C88/C$57</f>
        <v>0.125</v>
      </c>
      <c r="G87" t="s">
        <v>1486</v>
      </c>
      <c r="H87" s="27" t="s">
        <v>1806</v>
      </c>
      <c r="I87" s="61">
        <v>1</v>
      </c>
      <c r="J87" s="47"/>
    </row>
    <row r="88" spans="1:10" ht="16" thickBot="1">
      <c r="A88" t="s">
        <v>1538</v>
      </c>
      <c r="C88">
        <v>6</v>
      </c>
      <c r="E88" s="31" t="s">
        <v>1544</v>
      </c>
      <c r="F88" s="36">
        <f>C89/C$57</f>
        <v>0.27083333333333331</v>
      </c>
      <c r="H88" s="29" t="s">
        <v>1799</v>
      </c>
      <c r="I88">
        <v>0</v>
      </c>
      <c r="J88" s="35">
        <f t="shared" ref="J88:J93" si="4">I88/I$87</f>
        <v>0</v>
      </c>
    </row>
    <row r="89" spans="1:10" ht="16" thickBot="1">
      <c r="A89" t="s">
        <v>1539</v>
      </c>
      <c r="C89">
        <v>13</v>
      </c>
      <c r="H89" s="29" t="s">
        <v>1800</v>
      </c>
      <c r="I89">
        <v>1</v>
      </c>
      <c r="J89" s="35">
        <f t="shared" si="4"/>
        <v>1</v>
      </c>
    </row>
    <row r="90" spans="1:10">
      <c r="E90" s="27" t="s">
        <v>1547</v>
      </c>
      <c r="F90" s="28"/>
      <c r="H90" s="29" t="s">
        <v>1801</v>
      </c>
      <c r="I90">
        <v>0</v>
      </c>
      <c r="J90" s="35">
        <f t="shared" si="4"/>
        <v>0</v>
      </c>
    </row>
    <row r="91" spans="1:10">
      <c r="A91" t="s">
        <v>1547</v>
      </c>
      <c r="E91" s="29" t="s">
        <v>1596</v>
      </c>
      <c r="F91" s="35">
        <f>C92/C$57</f>
        <v>0.89583333333333337</v>
      </c>
      <c r="G91" t="s">
        <v>1486</v>
      </c>
      <c r="H91" s="29" t="s">
        <v>1802</v>
      </c>
      <c r="I91">
        <v>0</v>
      </c>
      <c r="J91" s="35">
        <f t="shared" si="4"/>
        <v>0</v>
      </c>
    </row>
    <row r="92" spans="1:10" ht="16" thickBot="1">
      <c r="A92" t="s">
        <v>1568</v>
      </c>
      <c r="C92">
        <v>43</v>
      </c>
      <c r="E92" s="31" t="s">
        <v>1457</v>
      </c>
      <c r="F92" s="36">
        <f>C93/C$57</f>
        <v>0.125</v>
      </c>
      <c r="H92" s="29" t="s">
        <v>1803</v>
      </c>
      <c r="I92">
        <v>0</v>
      </c>
      <c r="J92" s="35">
        <f t="shared" si="4"/>
        <v>0</v>
      </c>
    </row>
    <row r="93" spans="1:10" ht="16" thickBot="1">
      <c r="A93" t="s">
        <v>1457</v>
      </c>
      <c r="C93">
        <v>6</v>
      </c>
      <c r="F93" s="48"/>
      <c r="H93" s="31" t="s">
        <v>1804</v>
      </c>
      <c r="I93" s="62">
        <v>0</v>
      </c>
      <c r="J93" s="36">
        <f t="shared" si="4"/>
        <v>0</v>
      </c>
    </row>
    <row r="94" spans="1:10">
      <c r="E94" s="27" t="s">
        <v>2429</v>
      </c>
      <c r="F94" s="47"/>
    </row>
    <row r="95" spans="1:10" ht="16" thickBot="1">
      <c r="A95" t="s">
        <v>2429</v>
      </c>
      <c r="E95" s="29" t="s">
        <v>2430</v>
      </c>
      <c r="F95" s="35">
        <f>C96/C$93</f>
        <v>1</v>
      </c>
    </row>
    <row r="96" spans="1:10" ht="16" thickBot="1">
      <c r="A96" t="s">
        <v>2430</v>
      </c>
      <c r="C96">
        <v>6</v>
      </c>
      <c r="E96" s="31" t="s">
        <v>2431</v>
      </c>
      <c r="F96" s="36">
        <f>C97/C$93</f>
        <v>0</v>
      </c>
      <c r="H96" s="27" t="s">
        <v>1520</v>
      </c>
      <c r="I96" s="61">
        <v>9</v>
      </c>
      <c r="J96" s="47"/>
    </row>
    <row r="97" spans="1:10" ht="16" thickBot="1">
      <c r="A97" t="s">
        <v>2431</v>
      </c>
      <c r="C97">
        <v>0</v>
      </c>
      <c r="G97" t="s">
        <v>1486</v>
      </c>
      <c r="H97" s="29" t="s">
        <v>1808</v>
      </c>
      <c r="I97">
        <v>2</v>
      </c>
      <c r="J97" s="35">
        <f>I97/I$96</f>
        <v>0.22222222222222221</v>
      </c>
    </row>
    <row r="98" spans="1:10">
      <c r="C98" t="s">
        <v>1486</v>
      </c>
      <c r="E98" s="27" t="s">
        <v>1597</v>
      </c>
      <c r="F98" s="28"/>
      <c r="H98" s="29" t="s">
        <v>1809</v>
      </c>
      <c r="I98">
        <v>6</v>
      </c>
      <c r="J98" s="35">
        <f>I98/I$96</f>
        <v>0.66666666666666663</v>
      </c>
    </row>
    <row r="99" spans="1:10">
      <c r="A99" t="s">
        <v>1598</v>
      </c>
      <c r="E99" s="29" t="s">
        <v>1569</v>
      </c>
      <c r="F99" s="35">
        <f t="shared" ref="F99:F104" si="5">C100/C$57</f>
        <v>0.89583333333333337</v>
      </c>
      <c r="H99" s="29" t="s">
        <v>1810</v>
      </c>
      <c r="I99">
        <v>1</v>
      </c>
      <c r="J99" s="35">
        <f>I99/I$96</f>
        <v>0.1111111111111111</v>
      </c>
    </row>
    <row r="100" spans="1:10" ht="16" thickBot="1">
      <c r="A100" t="s">
        <v>1569</v>
      </c>
      <c r="C100">
        <v>43</v>
      </c>
      <c r="E100" s="29" t="s">
        <v>1571</v>
      </c>
      <c r="F100" s="35">
        <f t="shared" si="5"/>
        <v>0</v>
      </c>
      <c r="H100" s="31" t="s">
        <v>1811</v>
      </c>
      <c r="I100" s="62">
        <v>0</v>
      </c>
      <c r="J100" s="36">
        <f>I100/I$96</f>
        <v>0</v>
      </c>
    </row>
    <row r="101" spans="1:10">
      <c r="A101" t="s">
        <v>1571</v>
      </c>
      <c r="C101">
        <v>0</v>
      </c>
      <c r="E101" s="29" t="s">
        <v>1572</v>
      </c>
      <c r="F101" s="35">
        <f t="shared" si="5"/>
        <v>0</v>
      </c>
    </row>
    <row r="102" spans="1:10" ht="16" thickBot="1">
      <c r="A102" t="s">
        <v>1572</v>
      </c>
      <c r="C102">
        <v>0</v>
      </c>
      <c r="E102" s="29" t="s">
        <v>1573</v>
      </c>
      <c r="F102" s="35">
        <f t="shared" si="5"/>
        <v>0</v>
      </c>
    </row>
    <row r="103" spans="1:10">
      <c r="A103" t="s">
        <v>1573</v>
      </c>
      <c r="C103">
        <v>0</v>
      </c>
      <c r="E103" s="29" t="s">
        <v>1570</v>
      </c>
      <c r="F103" s="35">
        <f t="shared" si="5"/>
        <v>0.125</v>
      </c>
      <c r="H103" s="27" t="s">
        <v>1574</v>
      </c>
      <c r="I103" s="61">
        <v>7</v>
      </c>
      <c r="J103" s="47"/>
    </row>
    <row r="104" spans="1:10" ht="16" thickBot="1">
      <c r="A104" t="s">
        <v>1570</v>
      </c>
      <c r="C104">
        <v>6</v>
      </c>
      <c r="E104" s="31" t="s">
        <v>1574</v>
      </c>
      <c r="F104" s="36">
        <f t="shared" si="5"/>
        <v>0</v>
      </c>
      <c r="H104" s="29" t="s">
        <v>1812</v>
      </c>
      <c r="I104">
        <v>2</v>
      </c>
      <c r="J104" s="35">
        <f>I104/I$103</f>
        <v>0.2857142857142857</v>
      </c>
    </row>
    <row r="105" spans="1:10" ht="16" thickBot="1">
      <c r="A105" t="s">
        <v>1574</v>
      </c>
      <c r="C105">
        <v>0</v>
      </c>
      <c r="H105" s="29" t="s">
        <v>1813</v>
      </c>
      <c r="I105">
        <v>0</v>
      </c>
      <c r="J105" s="35">
        <f t="shared" ref="J105:J110" si="6">I105/I$103</f>
        <v>0</v>
      </c>
    </row>
    <row r="106" spans="1:10">
      <c r="E106" s="27" t="s">
        <v>1551</v>
      </c>
      <c r="F106" s="28"/>
      <c r="H106" s="29" t="s">
        <v>1814</v>
      </c>
      <c r="I106">
        <v>0</v>
      </c>
      <c r="J106" s="35">
        <f t="shared" si="6"/>
        <v>0</v>
      </c>
    </row>
    <row r="107" spans="1:10">
      <c r="A107" t="s">
        <v>1540</v>
      </c>
      <c r="C107">
        <v>4</v>
      </c>
      <c r="E107" s="29" t="s">
        <v>1506</v>
      </c>
      <c r="F107" s="35">
        <f t="shared" ref="F107:F112" si="7">C108/C$57</f>
        <v>0.72916666666666663</v>
      </c>
      <c r="H107" s="29" t="s">
        <v>1716</v>
      </c>
      <c r="I107">
        <v>1</v>
      </c>
      <c r="J107" s="35">
        <f t="shared" si="6"/>
        <v>0.14285714285714285</v>
      </c>
    </row>
    <row r="108" spans="1:10">
      <c r="A108" t="s">
        <v>1506</v>
      </c>
      <c r="C108">
        <v>35</v>
      </c>
      <c r="E108" s="29" t="s">
        <v>1503</v>
      </c>
      <c r="F108" s="35">
        <f t="shared" si="7"/>
        <v>0.1875</v>
      </c>
      <c r="H108" s="29" t="s">
        <v>1815</v>
      </c>
      <c r="I108">
        <v>1</v>
      </c>
      <c r="J108" s="35">
        <f t="shared" si="6"/>
        <v>0.14285714285714285</v>
      </c>
    </row>
    <row r="109" spans="1:10">
      <c r="A109" t="s">
        <v>1503</v>
      </c>
      <c r="C109">
        <v>9</v>
      </c>
      <c r="E109" s="29" t="s">
        <v>1502</v>
      </c>
      <c r="F109" s="35">
        <f t="shared" si="7"/>
        <v>4.1666666666666664E-2</v>
      </c>
      <c r="H109" s="29" t="s">
        <v>1859</v>
      </c>
      <c r="I109">
        <v>2</v>
      </c>
      <c r="J109" s="35">
        <f t="shared" si="6"/>
        <v>0.2857142857142857</v>
      </c>
    </row>
    <row r="110" spans="1:10" ht="16" thickBot="1">
      <c r="A110" t="s">
        <v>1502</v>
      </c>
      <c r="C110">
        <v>2</v>
      </c>
      <c r="E110" s="29" t="s">
        <v>1507</v>
      </c>
      <c r="F110" s="35">
        <f t="shared" si="7"/>
        <v>4.1666666666666664E-2</v>
      </c>
      <c r="H110" s="31" t="s">
        <v>1820</v>
      </c>
      <c r="I110" s="62">
        <v>1</v>
      </c>
      <c r="J110" s="36">
        <f t="shared" si="6"/>
        <v>0.14285714285714285</v>
      </c>
    </row>
    <row r="111" spans="1:10">
      <c r="A111" t="s">
        <v>1507</v>
      </c>
      <c r="C111">
        <v>2</v>
      </c>
      <c r="E111" s="29" t="s">
        <v>1505</v>
      </c>
      <c r="F111" s="35">
        <f t="shared" si="7"/>
        <v>2.0833333333333332E-2</v>
      </c>
    </row>
    <row r="112" spans="1:10" ht="16" thickBot="1">
      <c r="A112" t="s">
        <v>1505</v>
      </c>
      <c r="C112">
        <v>1</v>
      </c>
      <c r="E112" s="31" t="s">
        <v>1504</v>
      </c>
      <c r="F112" s="36">
        <f t="shared" si="7"/>
        <v>0</v>
      </c>
    </row>
    <row r="113" spans="1:3">
      <c r="A113" t="s">
        <v>1504</v>
      </c>
      <c r="C113">
        <v>0</v>
      </c>
    </row>
  </sheetData>
  <mergeCells count="1">
    <mergeCell ref="A53:F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4"/>
  <sheetViews>
    <sheetView topLeftCell="A71" workbookViewId="0">
      <selection activeCell="F96" sqref="F96"/>
    </sheetView>
  </sheetViews>
  <sheetFormatPr baseColWidth="10" defaultRowHeight="15"/>
  <cols>
    <col min="2" max="2" width="34" customWidth="1"/>
    <col min="7" max="7" width="65.1640625" customWidth="1"/>
    <col min="8" max="8" width="50.5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44410</v>
      </c>
      <c r="B2" t="s">
        <v>1037</v>
      </c>
      <c r="C2" t="s">
        <v>1506</v>
      </c>
      <c r="D2" t="s">
        <v>1510</v>
      </c>
      <c r="E2" t="s">
        <v>18</v>
      </c>
      <c r="F2" s="8">
        <v>858.8</v>
      </c>
      <c r="G2" t="s">
        <v>1039</v>
      </c>
      <c r="H2" t="s">
        <v>1023</v>
      </c>
    </row>
    <row r="3" spans="1:8">
      <c r="A3" s="6">
        <v>44410</v>
      </c>
      <c r="B3" t="s">
        <v>1041</v>
      </c>
      <c r="C3" t="s">
        <v>1506</v>
      </c>
      <c r="D3" t="s">
        <v>1509</v>
      </c>
      <c r="E3" t="s">
        <v>18</v>
      </c>
      <c r="F3" s="8">
        <v>1700</v>
      </c>
      <c r="G3" t="s">
        <v>1044</v>
      </c>
      <c r="H3" t="s">
        <v>323</v>
      </c>
    </row>
    <row r="4" spans="1:8">
      <c r="A4" s="6">
        <v>44411</v>
      </c>
      <c r="B4" t="s">
        <v>1050</v>
      </c>
      <c r="C4" t="s">
        <v>1506</v>
      </c>
      <c r="D4" t="s">
        <v>1509</v>
      </c>
      <c r="E4" t="s">
        <v>18</v>
      </c>
      <c r="F4" s="8">
        <v>840</v>
      </c>
      <c r="G4" t="s">
        <v>1053</v>
      </c>
      <c r="H4" t="s">
        <v>1046</v>
      </c>
    </row>
    <row r="5" spans="1:8">
      <c r="A5" s="6">
        <v>44412</v>
      </c>
      <c r="B5" t="s">
        <v>1055</v>
      </c>
      <c r="C5" t="s">
        <v>1506</v>
      </c>
      <c r="D5" t="s">
        <v>1509</v>
      </c>
      <c r="E5" t="s">
        <v>18</v>
      </c>
      <c r="F5" s="8">
        <v>3462</v>
      </c>
      <c r="G5" t="s">
        <v>1058</v>
      </c>
      <c r="H5" t="s">
        <v>1060</v>
      </c>
    </row>
    <row r="6" spans="1:8">
      <c r="A6" s="6">
        <v>44413</v>
      </c>
      <c r="B6" t="s">
        <v>1002</v>
      </c>
      <c r="C6" t="s">
        <v>1506</v>
      </c>
      <c r="D6" t="s">
        <v>1509</v>
      </c>
      <c r="E6" t="s">
        <v>1455</v>
      </c>
      <c r="F6" s="8">
        <v>491</v>
      </c>
      <c r="G6" t="s">
        <v>1497</v>
      </c>
      <c r="H6" t="s">
        <v>1457</v>
      </c>
    </row>
    <row r="7" spans="1:8">
      <c r="A7" s="6">
        <v>44413</v>
      </c>
      <c r="B7" t="s">
        <v>1063</v>
      </c>
      <c r="C7" t="s">
        <v>1506</v>
      </c>
      <c r="D7" t="s">
        <v>1509</v>
      </c>
      <c r="E7" t="s">
        <v>18</v>
      </c>
      <c r="F7" s="8">
        <v>1196.0999999999999</v>
      </c>
      <c r="G7" t="s">
        <v>1499</v>
      </c>
      <c r="H7" t="s">
        <v>1059</v>
      </c>
    </row>
    <row r="8" spans="1:8">
      <c r="A8" s="6">
        <v>44414</v>
      </c>
      <c r="B8" t="s">
        <v>1073</v>
      </c>
      <c r="C8" t="s">
        <v>1506</v>
      </c>
      <c r="D8" t="s">
        <v>1509</v>
      </c>
      <c r="E8" t="s">
        <v>18</v>
      </c>
      <c r="F8" s="8">
        <v>1681.5</v>
      </c>
      <c r="G8" t="s">
        <v>1076</v>
      </c>
      <c r="H8" t="s">
        <v>1457</v>
      </c>
    </row>
    <row r="9" spans="1:8">
      <c r="A9" s="6">
        <v>44414</v>
      </c>
      <c r="B9" t="s">
        <v>1077</v>
      </c>
      <c r="C9" t="s">
        <v>1506</v>
      </c>
      <c r="D9" t="s">
        <v>1509</v>
      </c>
      <c r="E9" t="s">
        <v>18</v>
      </c>
      <c r="F9" s="8">
        <v>1228.5</v>
      </c>
      <c r="G9" t="s">
        <v>1080</v>
      </c>
      <c r="H9" t="s">
        <v>1071</v>
      </c>
    </row>
    <row r="10" spans="1:8">
      <c r="A10" s="6">
        <v>44415</v>
      </c>
      <c r="B10" t="s">
        <v>1083</v>
      </c>
      <c r="C10" t="s">
        <v>1506</v>
      </c>
      <c r="D10" t="s">
        <v>1509</v>
      </c>
      <c r="E10" t="s">
        <v>18</v>
      </c>
      <c r="F10" s="8">
        <v>2557.8000000000002</v>
      </c>
      <c r="G10" t="s">
        <v>1897</v>
      </c>
      <c r="H10" t="s">
        <v>1088</v>
      </c>
    </row>
    <row r="11" spans="1:8">
      <c r="A11" s="6">
        <v>44417</v>
      </c>
      <c r="B11" t="s">
        <v>1097</v>
      </c>
      <c r="C11" t="s">
        <v>1502</v>
      </c>
      <c r="D11" t="s">
        <v>1509</v>
      </c>
      <c r="E11" t="s">
        <v>18</v>
      </c>
      <c r="F11" s="8">
        <v>1435.45</v>
      </c>
      <c r="G11" t="s">
        <v>1100</v>
      </c>
      <c r="H11" t="s">
        <v>1087</v>
      </c>
    </row>
    <row r="12" spans="1:8">
      <c r="A12" s="6">
        <v>44418</v>
      </c>
      <c r="B12" t="s">
        <v>1103</v>
      </c>
      <c r="C12" t="s">
        <v>1503</v>
      </c>
      <c r="D12" t="s">
        <v>1509</v>
      </c>
      <c r="E12" t="s">
        <v>18</v>
      </c>
      <c r="F12" s="8">
        <v>1307.2</v>
      </c>
      <c r="G12" t="s">
        <v>1106</v>
      </c>
      <c r="H12" t="s">
        <v>1457</v>
      </c>
    </row>
    <row r="13" spans="1:8">
      <c r="A13" s="6">
        <v>44418</v>
      </c>
      <c r="B13" t="s">
        <v>1107</v>
      </c>
      <c r="C13" t="s">
        <v>1506</v>
      </c>
      <c r="D13" t="s">
        <v>1509</v>
      </c>
      <c r="E13" t="s">
        <v>685</v>
      </c>
      <c r="F13" s="8">
        <v>1218.8499999999999</v>
      </c>
      <c r="G13" t="s">
        <v>1110</v>
      </c>
      <c r="H13" t="s">
        <v>403</v>
      </c>
    </row>
    <row r="14" spans="1:8">
      <c r="A14" s="6">
        <v>44418</v>
      </c>
      <c r="B14" t="s">
        <v>1063</v>
      </c>
      <c r="C14" t="s">
        <v>1506</v>
      </c>
      <c r="D14" t="s">
        <v>1509</v>
      </c>
      <c r="E14" t="s">
        <v>1455</v>
      </c>
      <c r="F14" s="8">
        <v>550</v>
      </c>
      <c r="G14" t="s">
        <v>1498</v>
      </c>
      <c r="H14" t="s">
        <v>1111</v>
      </c>
    </row>
    <row r="15" spans="1:8">
      <c r="A15" s="6">
        <v>44419</v>
      </c>
      <c r="B15" t="s">
        <v>1116</v>
      </c>
      <c r="C15" t="s">
        <v>1502</v>
      </c>
      <c r="D15" t="s">
        <v>1509</v>
      </c>
      <c r="E15" t="s">
        <v>18</v>
      </c>
      <c r="F15" s="8">
        <v>1474</v>
      </c>
      <c r="G15" t="s">
        <v>1119</v>
      </c>
      <c r="H15" t="s">
        <v>681</v>
      </c>
    </row>
    <row r="16" spans="1:8">
      <c r="A16" s="6">
        <v>44419</v>
      </c>
      <c r="B16" t="s">
        <v>1120</v>
      </c>
      <c r="C16" t="s">
        <v>1506</v>
      </c>
      <c r="D16" t="s">
        <v>1509</v>
      </c>
      <c r="E16" t="s">
        <v>18</v>
      </c>
      <c r="F16" s="8">
        <v>1254</v>
      </c>
      <c r="G16" t="s">
        <v>1500</v>
      </c>
      <c r="H16" t="s">
        <v>1114</v>
      </c>
    </row>
    <row r="17" spans="1:8">
      <c r="A17" s="6">
        <v>44420</v>
      </c>
      <c r="B17" t="s">
        <v>1123</v>
      </c>
      <c r="C17" t="s">
        <v>1506</v>
      </c>
      <c r="D17" t="s">
        <v>1509</v>
      </c>
      <c r="E17" t="s">
        <v>18</v>
      </c>
      <c r="F17" s="8">
        <v>1754.65</v>
      </c>
      <c r="G17" t="s">
        <v>1126</v>
      </c>
      <c r="H17" t="s">
        <v>1457</v>
      </c>
    </row>
    <row r="18" spans="1:8">
      <c r="A18" s="6">
        <v>44411</v>
      </c>
      <c r="B18" t="s">
        <v>1128</v>
      </c>
      <c r="C18" t="s">
        <v>1506</v>
      </c>
      <c r="D18" t="s">
        <v>1509</v>
      </c>
      <c r="E18" t="s">
        <v>685</v>
      </c>
      <c r="F18" s="8">
        <v>797</v>
      </c>
      <c r="G18" t="s">
        <v>1900</v>
      </c>
      <c r="H18" t="s">
        <v>668</v>
      </c>
    </row>
    <row r="19" spans="1:8">
      <c r="A19" s="6">
        <v>44421</v>
      </c>
      <c r="B19" t="s">
        <v>1133</v>
      </c>
      <c r="C19" t="s">
        <v>1505</v>
      </c>
      <c r="D19" t="s">
        <v>1509</v>
      </c>
      <c r="E19" t="s">
        <v>18</v>
      </c>
      <c r="F19" s="8">
        <v>2353.5</v>
      </c>
      <c r="G19" t="s">
        <v>1136</v>
      </c>
      <c r="H19" t="s">
        <v>403</v>
      </c>
    </row>
    <row r="20" spans="1:8">
      <c r="A20" s="6">
        <v>44421</v>
      </c>
      <c r="B20" t="s">
        <v>1138</v>
      </c>
      <c r="C20" t="s">
        <v>1506</v>
      </c>
      <c r="D20" t="s">
        <v>1510</v>
      </c>
      <c r="E20" t="s">
        <v>18</v>
      </c>
      <c r="F20" s="8">
        <v>636.84</v>
      </c>
      <c r="G20" t="s">
        <v>1141</v>
      </c>
      <c r="H20" t="s">
        <v>792</v>
      </c>
    </row>
    <row r="21" spans="1:8">
      <c r="A21" s="6">
        <v>44422</v>
      </c>
      <c r="B21" t="s">
        <v>1143</v>
      </c>
      <c r="C21" t="s">
        <v>1506</v>
      </c>
      <c r="D21" t="s">
        <v>1510</v>
      </c>
      <c r="E21" t="s">
        <v>18</v>
      </c>
      <c r="F21" s="8">
        <v>860</v>
      </c>
      <c r="G21" t="s">
        <v>1146</v>
      </c>
      <c r="H21" t="s">
        <v>403</v>
      </c>
    </row>
    <row r="22" spans="1:8">
      <c r="A22" s="6">
        <v>44422</v>
      </c>
      <c r="B22" t="s">
        <v>1148</v>
      </c>
      <c r="C22" t="s">
        <v>1506</v>
      </c>
      <c r="D22" t="s">
        <v>1509</v>
      </c>
      <c r="E22" t="s">
        <v>18</v>
      </c>
      <c r="F22" s="8">
        <v>901</v>
      </c>
      <c r="G22" t="s">
        <v>117</v>
      </c>
      <c r="H22" t="s">
        <v>1152</v>
      </c>
    </row>
    <row r="23" spans="1:8">
      <c r="A23" s="6">
        <v>44424</v>
      </c>
      <c r="B23" t="s">
        <v>1155</v>
      </c>
      <c r="C23" t="s">
        <v>1506</v>
      </c>
      <c r="D23" t="s">
        <v>1509</v>
      </c>
      <c r="E23" t="s">
        <v>18</v>
      </c>
      <c r="F23" s="8">
        <v>2284.1999999999998</v>
      </c>
      <c r="G23" t="s">
        <v>1158</v>
      </c>
      <c r="H23" t="s">
        <v>1153</v>
      </c>
    </row>
    <row r="24" spans="1:8">
      <c r="A24" s="6">
        <v>44425</v>
      </c>
      <c r="B24" t="s">
        <v>1160</v>
      </c>
      <c r="C24" t="s">
        <v>1507</v>
      </c>
      <c r="D24" t="s">
        <v>1509</v>
      </c>
      <c r="E24" t="s">
        <v>18</v>
      </c>
      <c r="F24" s="8">
        <v>1577</v>
      </c>
      <c r="G24" t="s">
        <v>1163</v>
      </c>
      <c r="H24" t="s">
        <v>1151</v>
      </c>
    </row>
    <row r="25" spans="1:8">
      <c r="A25" s="6">
        <v>44426</v>
      </c>
      <c r="B25" t="s">
        <v>1166</v>
      </c>
      <c r="C25" t="s">
        <v>1506</v>
      </c>
      <c r="D25" t="s">
        <v>1509</v>
      </c>
      <c r="E25" t="s">
        <v>18</v>
      </c>
      <c r="F25" s="8">
        <v>2337</v>
      </c>
      <c r="G25" t="s">
        <v>1168</v>
      </c>
      <c r="H25" t="s">
        <v>1150</v>
      </c>
    </row>
    <row r="26" spans="1:8">
      <c r="A26" s="6">
        <v>44426</v>
      </c>
      <c r="B26" t="s">
        <v>1171</v>
      </c>
      <c r="C26" t="s">
        <v>1506</v>
      </c>
      <c r="D26" t="s">
        <v>1509</v>
      </c>
      <c r="E26" t="s">
        <v>18</v>
      </c>
      <c r="F26" s="8">
        <v>1579.85</v>
      </c>
      <c r="G26" t="s">
        <v>1715</v>
      </c>
      <c r="H26" t="s">
        <v>1164</v>
      </c>
    </row>
    <row r="27" spans="1:8">
      <c r="A27" s="6">
        <v>44417</v>
      </c>
      <c r="B27" t="s">
        <v>1179</v>
      </c>
      <c r="C27" t="s">
        <v>1506</v>
      </c>
      <c r="D27" t="s">
        <v>1509</v>
      </c>
      <c r="E27" t="s">
        <v>18</v>
      </c>
      <c r="F27" s="8">
        <v>1031.4000000000001</v>
      </c>
      <c r="G27" t="s">
        <v>1182</v>
      </c>
      <c r="H27" t="s">
        <v>281</v>
      </c>
    </row>
    <row r="28" spans="1:8">
      <c r="A28" s="6">
        <v>44428</v>
      </c>
      <c r="B28" t="s">
        <v>1184</v>
      </c>
      <c r="C28" t="s">
        <v>1506</v>
      </c>
      <c r="D28" t="s">
        <v>1510</v>
      </c>
      <c r="E28" t="s">
        <v>18</v>
      </c>
      <c r="F28" s="8">
        <v>2112.5300000000002</v>
      </c>
      <c r="G28" t="s">
        <v>1187</v>
      </c>
      <c r="H28" t="s">
        <v>1175</v>
      </c>
    </row>
    <row r="29" spans="1:8">
      <c r="A29" s="6">
        <v>44428</v>
      </c>
      <c r="B29" t="s">
        <v>1189</v>
      </c>
      <c r="C29" t="s">
        <v>1506</v>
      </c>
      <c r="D29" t="s">
        <v>1510</v>
      </c>
      <c r="E29" t="s">
        <v>18</v>
      </c>
      <c r="F29" s="8">
        <v>1666</v>
      </c>
      <c r="G29" t="s">
        <v>175</v>
      </c>
      <c r="H29" t="s">
        <v>1457</v>
      </c>
    </row>
    <row r="30" spans="1:8">
      <c r="A30" s="6">
        <v>44429</v>
      </c>
      <c r="B30" t="s">
        <v>1193</v>
      </c>
      <c r="C30" t="s">
        <v>1502</v>
      </c>
      <c r="D30" t="s">
        <v>1509</v>
      </c>
      <c r="E30" t="s">
        <v>18</v>
      </c>
      <c r="F30" s="8">
        <v>936.7</v>
      </c>
      <c r="G30" t="s">
        <v>1196</v>
      </c>
      <c r="H30" t="s">
        <v>403</v>
      </c>
    </row>
    <row r="31" spans="1:8">
      <c r="A31" s="6">
        <v>44428</v>
      </c>
      <c r="B31" t="s">
        <v>1198</v>
      </c>
      <c r="C31" t="s">
        <v>1503</v>
      </c>
      <c r="D31" t="s">
        <v>1509</v>
      </c>
      <c r="E31" t="s">
        <v>18</v>
      </c>
      <c r="F31" s="8">
        <v>950.4</v>
      </c>
      <c r="G31" t="s">
        <v>1201</v>
      </c>
      <c r="H31" t="s">
        <v>1207</v>
      </c>
    </row>
    <row r="32" spans="1:8">
      <c r="A32" s="6">
        <v>44431</v>
      </c>
      <c r="B32" t="s">
        <v>1202</v>
      </c>
      <c r="C32" t="s">
        <v>1506</v>
      </c>
      <c r="D32" t="s">
        <v>1509</v>
      </c>
      <c r="E32" t="s">
        <v>18</v>
      </c>
      <c r="F32" s="8">
        <v>803.7</v>
      </c>
      <c r="G32" t="s">
        <v>950</v>
      </c>
      <c r="H32" t="s">
        <v>1209</v>
      </c>
    </row>
    <row r="33" spans="1:8">
      <c r="A33" s="6">
        <v>44426</v>
      </c>
      <c r="B33" t="s">
        <v>1215</v>
      </c>
      <c r="C33" t="s">
        <v>1506</v>
      </c>
      <c r="D33" t="s">
        <v>1509</v>
      </c>
      <c r="E33" t="s">
        <v>18</v>
      </c>
      <c r="F33" s="8">
        <v>905</v>
      </c>
      <c r="G33" t="s">
        <v>1218</v>
      </c>
      <c r="H33" t="s">
        <v>20</v>
      </c>
    </row>
    <row r="34" spans="1:8">
      <c r="A34" s="6">
        <v>44432</v>
      </c>
      <c r="B34" t="s">
        <v>1220</v>
      </c>
      <c r="C34" t="s">
        <v>1502</v>
      </c>
      <c r="D34" t="s">
        <v>1509</v>
      </c>
      <c r="E34" t="s">
        <v>18</v>
      </c>
      <c r="F34" s="8">
        <v>1951.12</v>
      </c>
      <c r="G34" t="s">
        <v>1223</v>
      </c>
      <c r="H34" t="s">
        <v>1208</v>
      </c>
    </row>
    <row r="35" spans="1:8">
      <c r="A35" s="6">
        <v>44432</v>
      </c>
      <c r="B35" t="s">
        <v>1224</v>
      </c>
      <c r="C35" t="s">
        <v>1503</v>
      </c>
      <c r="D35" t="s">
        <v>1509</v>
      </c>
      <c r="E35" t="s">
        <v>18</v>
      </c>
      <c r="F35" s="8">
        <v>817</v>
      </c>
      <c r="G35" t="s">
        <v>1227</v>
      </c>
      <c r="H35" t="s">
        <v>1206</v>
      </c>
    </row>
    <row r="36" spans="1:8">
      <c r="A36" s="6">
        <v>44433</v>
      </c>
      <c r="B36" s="11" t="s">
        <v>1228</v>
      </c>
      <c r="C36" t="s">
        <v>1506</v>
      </c>
      <c r="D36" t="s">
        <v>1510</v>
      </c>
      <c r="E36" t="s">
        <v>18</v>
      </c>
      <c r="F36" s="8">
        <v>2970</v>
      </c>
      <c r="G36" t="s">
        <v>518</v>
      </c>
      <c r="H36" t="s">
        <v>1219</v>
      </c>
    </row>
    <row r="37" spans="1:8">
      <c r="A37" s="6">
        <v>44433</v>
      </c>
      <c r="B37" t="s">
        <v>1233</v>
      </c>
      <c r="C37" t="s">
        <v>1506</v>
      </c>
      <c r="D37" t="s">
        <v>1509</v>
      </c>
      <c r="E37" t="s">
        <v>1455</v>
      </c>
      <c r="F37" s="8">
        <v>2246.75</v>
      </c>
      <c r="G37" t="s">
        <v>1495</v>
      </c>
      <c r="H37" t="s">
        <v>1248</v>
      </c>
    </row>
    <row r="38" spans="1:8">
      <c r="A38" s="6">
        <v>44424</v>
      </c>
      <c r="B38" t="s">
        <v>1236</v>
      </c>
      <c r="C38" t="s">
        <v>1506</v>
      </c>
      <c r="D38" t="s">
        <v>1510</v>
      </c>
      <c r="E38" t="s">
        <v>18</v>
      </c>
      <c r="F38" s="8">
        <v>3043</v>
      </c>
      <c r="G38" t="s">
        <v>1898</v>
      </c>
      <c r="H38" t="s">
        <v>1231</v>
      </c>
    </row>
    <row r="39" spans="1:8">
      <c r="A39" s="6">
        <v>44434</v>
      </c>
      <c r="B39" t="s">
        <v>674</v>
      </c>
      <c r="C39" t="s">
        <v>1506</v>
      </c>
      <c r="D39" t="s">
        <v>1509</v>
      </c>
      <c r="E39" t="s">
        <v>1455</v>
      </c>
      <c r="F39" s="8">
        <v>2802.6</v>
      </c>
      <c r="G39" t="s">
        <v>1489</v>
      </c>
      <c r="H39" t="s">
        <v>1232</v>
      </c>
    </row>
    <row r="40" spans="1:8">
      <c r="A40" s="6">
        <v>44424</v>
      </c>
      <c r="B40" t="s">
        <v>1244</v>
      </c>
      <c r="C40" t="s">
        <v>1506</v>
      </c>
      <c r="D40" t="s">
        <v>1509</v>
      </c>
      <c r="E40" t="s">
        <v>18</v>
      </c>
      <c r="F40" s="8">
        <v>1339.65</v>
      </c>
      <c r="G40" t="s">
        <v>1714</v>
      </c>
      <c r="H40" t="s">
        <v>1457</v>
      </c>
    </row>
    <row r="41" spans="1:8">
      <c r="A41" s="6">
        <v>44435</v>
      </c>
      <c r="B41" t="s">
        <v>1250</v>
      </c>
      <c r="C41" t="s">
        <v>1506</v>
      </c>
      <c r="D41" t="s">
        <v>1509</v>
      </c>
      <c r="E41" t="s">
        <v>18</v>
      </c>
      <c r="F41" s="8">
        <v>1022.2</v>
      </c>
      <c r="G41" t="s">
        <v>1253</v>
      </c>
      <c r="H41" t="s">
        <v>1240</v>
      </c>
    </row>
    <row r="42" spans="1:8">
      <c r="A42" s="6">
        <v>44435</v>
      </c>
      <c r="B42" t="s">
        <v>1255</v>
      </c>
      <c r="C42" t="s">
        <v>1502</v>
      </c>
      <c r="D42" t="s">
        <v>1509</v>
      </c>
      <c r="E42" t="s">
        <v>18</v>
      </c>
      <c r="F42" s="8">
        <v>2289</v>
      </c>
      <c r="G42" t="s">
        <v>1258</v>
      </c>
      <c r="H42" t="s">
        <v>1457</v>
      </c>
    </row>
    <row r="43" spans="1:8">
      <c r="A43" s="6">
        <v>44436</v>
      </c>
      <c r="B43" t="s">
        <v>1260</v>
      </c>
      <c r="C43" t="s">
        <v>1506</v>
      </c>
      <c r="D43" t="s">
        <v>1509</v>
      </c>
      <c r="E43" t="s">
        <v>18</v>
      </c>
      <c r="F43" s="8">
        <v>1092.5999999999999</v>
      </c>
      <c r="G43" t="s">
        <v>1263</v>
      </c>
      <c r="H43" t="s">
        <v>1270</v>
      </c>
    </row>
    <row r="44" spans="1:8">
      <c r="A44" s="6">
        <v>44438</v>
      </c>
      <c r="B44" t="s">
        <v>538</v>
      </c>
      <c r="C44" t="s">
        <v>1506</v>
      </c>
      <c r="D44" t="s">
        <v>1509</v>
      </c>
      <c r="E44" t="s">
        <v>1455</v>
      </c>
      <c r="F44" s="8">
        <v>860</v>
      </c>
      <c r="G44" t="s">
        <v>1485</v>
      </c>
      <c r="H44" t="s">
        <v>1264</v>
      </c>
    </row>
    <row r="45" spans="1:8">
      <c r="A45" s="6">
        <v>44438</v>
      </c>
      <c r="B45" t="s">
        <v>2417</v>
      </c>
      <c r="C45" t="s">
        <v>1506</v>
      </c>
      <c r="D45" t="s">
        <v>1509</v>
      </c>
      <c r="E45" t="s">
        <v>63</v>
      </c>
      <c r="F45" s="8">
        <v>3241.8</v>
      </c>
      <c r="G45" s="11" t="s">
        <v>1269</v>
      </c>
      <c r="H45" t="s">
        <v>747</v>
      </c>
    </row>
    <row r="46" spans="1:8">
      <c r="A46" s="6">
        <v>44439</v>
      </c>
      <c r="B46" t="s">
        <v>1272</v>
      </c>
      <c r="C46" t="s">
        <v>1502</v>
      </c>
      <c r="D46" t="s">
        <v>1509</v>
      </c>
      <c r="E46" t="s">
        <v>18</v>
      </c>
      <c r="F46" s="8">
        <v>5864.4</v>
      </c>
      <c r="G46" t="s">
        <v>1275</v>
      </c>
      <c r="H46" t="s">
        <v>403</v>
      </c>
    </row>
    <row r="47" spans="1:8">
      <c r="A47" s="6">
        <v>44418</v>
      </c>
      <c r="B47" t="s">
        <v>1290</v>
      </c>
      <c r="C47" t="s">
        <v>1503</v>
      </c>
      <c r="D47" t="s">
        <v>1509</v>
      </c>
      <c r="E47" t="s">
        <v>18</v>
      </c>
      <c r="F47" s="8">
        <v>1359.9</v>
      </c>
      <c r="G47" t="s">
        <v>1293</v>
      </c>
      <c r="H47" t="s">
        <v>1276</v>
      </c>
    </row>
    <row r="48" spans="1:8">
      <c r="A48" s="6">
        <v>44431</v>
      </c>
      <c r="B48" t="s">
        <v>1295</v>
      </c>
      <c r="C48" t="s">
        <v>1507</v>
      </c>
      <c r="D48" t="s">
        <v>1509</v>
      </c>
      <c r="E48" t="s">
        <v>18</v>
      </c>
      <c r="F48" s="8">
        <v>1157.83</v>
      </c>
      <c r="G48" t="s">
        <v>1298</v>
      </c>
      <c r="H48" t="s">
        <v>1283</v>
      </c>
    </row>
    <row r="49" spans="1:10">
      <c r="A49" s="6">
        <v>44417</v>
      </c>
      <c r="B49" t="s">
        <v>1307</v>
      </c>
      <c r="C49" t="s">
        <v>1502</v>
      </c>
      <c r="D49" t="s">
        <v>1509</v>
      </c>
      <c r="E49" t="s">
        <v>18</v>
      </c>
      <c r="F49" s="8">
        <v>985</v>
      </c>
      <c r="G49" t="s">
        <v>1310</v>
      </c>
      <c r="H49" t="s">
        <v>403</v>
      </c>
    </row>
    <row r="50" spans="1:10">
      <c r="A50" s="6">
        <v>44434</v>
      </c>
      <c r="B50" t="s">
        <v>2406</v>
      </c>
      <c r="C50" t="s">
        <v>1503</v>
      </c>
      <c r="D50" t="s">
        <v>1509</v>
      </c>
      <c r="E50" t="s">
        <v>1455</v>
      </c>
      <c r="F50" s="8">
        <v>936.05</v>
      </c>
      <c r="G50" t="s">
        <v>1467</v>
      </c>
      <c r="H50" t="s">
        <v>1457</v>
      </c>
    </row>
    <row r="53" spans="1:10" ht="16" thickBot="1">
      <c r="A53" s="106" t="s">
        <v>1541</v>
      </c>
      <c r="B53" s="106"/>
      <c r="C53" s="106"/>
      <c r="D53" s="106"/>
      <c r="E53" s="106"/>
      <c r="F53" s="106"/>
    </row>
    <row r="54" spans="1:10">
      <c r="A54" t="s">
        <v>1513</v>
      </c>
      <c r="C54" s="8">
        <f>SUM(F2:F50)</f>
        <v>78720.869999999981</v>
      </c>
      <c r="E54" s="27" t="s">
        <v>1546</v>
      </c>
      <c r="F54" s="28"/>
      <c r="H54" s="27" t="s">
        <v>1515</v>
      </c>
      <c r="I54" s="61">
        <v>12</v>
      </c>
      <c r="J54" s="47"/>
    </row>
    <row r="55" spans="1:10">
      <c r="E55" s="29" t="s">
        <v>1552</v>
      </c>
      <c r="F55" s="50">
        <v>78720.869999999981</v>
      </c>
      <c r="H55" s="29" t="s">
        <v>1768</v>
      </c>
      <c r="I55">
        <v>1</v>
      </c>
      <c r="J55" s="35">
        <f>I55/I$54</f>
        <v>8.3333333333333329E-2</v>
      </c>
    </row>
    <row r="56" spans="1:10" ht="16" thickBot="1">
      <c r="A56" t="s">
        <v>1545</v>
      </c>
      <c r="C56">
        <v>26</v>
      </c>
      <c r="E56" s="31" t="s">
        <v>1553</v>
      </c>
      <c r="F56" s="42">
        <f>C54/C56</f>
        <v>3027.7257692307685</v>
      </c>
      <c r="G56" t="s">
        <v>1486</v>
      </c>
      <c r="H56" s="29" t="s">
        <v>1769</v>
      </c>
      <c r="I56">
        <v>11</v>
      </c>
      <c r="J56" s="35">
        <f>I56/I$54</f>
        <v>0.91666666666666663</v>
      </c>
    </row>
    <row r="57" spans="1:10" ht="16" thickBot="1">
      <c r="A57" t="s">
        <v>1758</v>
      </c>
      <c r="C57">
        <v>49</v>
      </c>
      <c r="H57" s="31" t="s">
        <v>1770</v>
      </c>
      <c r="I57" s="62">
        <v>0</v>
      </c>
      <c r="J57" s="36">
        <f>I57/I$54</f>
        <v>0</v>
      </c>
    </row>
    <row r="58" spans="1:10">
      <c r="D58" t="s">
        <v>1486</v>
      </c>
      <c r="E58" s="27" t="s">
        <v>1547</v>
      </c>
      <c r="F58" s="28"/>
    </row>
    <row r="59" spans="1:10" ht="16" thickBot="1">
      <c r="A59" t="s">
        <v>1511</v>
      </c>
      <c r="C59">
        <v>43</v>
      </c>
      <c r="D59" t="s">
        <v>1486</v>
      </c>
      <c r="E59" s="29" t="s">
        <v>1509</v>
      </c>
      <c r="F59" s="35">
        <f>C59/C$57</f>
        <v>0.87755102040816324</v>
      </c>
    </row>
    <row r="60" spans="1:10" ht="16" thickBot="1">
      <c r="A60" t="s">
        <v>1512</v>
      </c>
      <c r="C60">
        <v>6</v>
      </c>
      <c r="E60" s="31" t="s">
        <v>1510</v>
      </c>
      <c r="F60" s="36">
        <f>C60/C$57</f>
        <v>0.12244897959183673</v>
      </c>
      <c r="H60" s="27" t="s">
        <v>1807</v>
      </c>
      <c r="I60" s="61">
        <v>27</v>
      </c>
      <c r="J60" s="47"/>
    </row>
    <row r="61" spans="1:10" ht="16" thickBot="1">
      <c r="H61" s="29" t="s">
        <v>1771</v>
      </c>
      <c r="I61">
        <v>16</v>
      </c>
      <c r="J61" s="35">
        <f>I61/I$60</f>
        <v>0.59259259259259256</v>
      </c>
    </row>
    <row r="62" spans="1:10">
      <c r="A62" t="s">
        <v>1524</v>
      </c>
      <c r="E62" s="27" t="s">
        <v>1548</v>
      </c>
      <c r="F62" s="28"/>
      <c r="H62" s="29" t="s">
        <v>1772</v>
      </c>
      <c r="I62">
        <v>11</v>
      </c>
      <c r="J62" s="35">
        <f>I62/I$60</f>
        <v>0.40740740740740738</v>
      </c>
    </row>
    <row r="63" spans="1:10">
      <c r="A63" t="s">
        <v>1514</v>
      </c>
      <c r="C63">
        <v>2</v>
      </c>
      <c r="E63" s="29" t="s">
        <v>1514</v>
      </c>
      <c r="F63" s="35">
        <f>C63/C$72</f>
        <v>2.0618556701030927E-2</v>
      </c>
      <c r="H63" s="29" t="s">
        <v>1773</v>
      </c>
      <c r="I63">
        <v>0</v>
      </c>
      <c r="J63" s="35">
        <f>I63/I$60</f>
        <v>0</v>
      </c>
    </row>
    <row r="64" spans="1:10">
      <c r="A64" t="s">
        <v>1515</v>
      </c>
      <c r="C64">
        <v>12</v>
      </c>
      <c r="E64" s="29" t="s">
        <v>1515</v>
      </c>
      <c r="F64" s="35">
        <f t="shared" ref="F64:F71" si="0">C64/C$72</f>
        <v>0.12371134020618557</v>
      </c>
      <c r="H64" s="29"/>
      <c r="J64" s="35"/>
    </row>
    <row r="65" spans="1:10">
      <c r="A65" t="s">
        <v>1516</v>
      </c>
      <c r="C65">
        <v>27</v>
      </c>
      <c r="E65" s="29" t="s">
        <v>1516</v>
      </c>
      <c r="F65" s="35">
        <f t="shared" si="0"/>
        <v>0.27835051546391754</v>
      </c>
      <c r="H65" s="29" t="s">
        <v>1818</v>
      </c>
      <c r="I65">
        <v>4</v>
      </c>
      <c r="J65" s="35">
        <f t="shared" ref="J65:J72" si="1">I65/I$60</f>
        <v>0.14814814814814814</v>
      </c>
    </row>
    <row r="66" spans="1:10">
      <c r="A66" t="s">
        <v>1517</v>
      </c>
      <c r="C66">
        <v>0</v>
      </c>
      <c r="E66" s="29" t="s">
        <v>1517</v>
      </c>
      <c r="F66" s="35">
        <f t="shared" si="0"/>
        <v>0</v>
      </c>
      <c r="G66" t="s">
        <v>1486</v>
      </c>
      <c r="H66" s="29" t="s">
        <v>1819</v>
      </c>
      <c r="I66">
        <v>1</v>
      </c>
      <c r="J66" s="35">
        <f t="shared" si="1"/>
        <v>3.7037037037037035E-2</v>
      </c>
    </row>
    <row r="67" spans="1:10">
      <c r="A67" t="s">
        <v>1518</v>
      </c>
      <c r="C67">
        <v>15</v>
      </c>
      <c r="E67" s="29" t="s">
        <v>1518</v>
      </c>
      <c r="F67" s="35">
        <f t="shared" si="0"/>
        <v>0.15463917525773196</v>
      </c>
      <c r="H67" s="29" t="s">
        <v>1892</v>
      </c>
      <c r="I67">
        <v>5</v>
      </c>
      <c r="J67" s="35">
        <f t="shared" si="1"/>
        <v>0.18518518518518517</v>
      </c>
    </row>
    <row r="68" spans="1:10">
      <c r="A68" t="s">
        <v>1519</v>
      </c>
      <c r="C68">
        <v>4</v>
      </c>
      <c r="E68" s="29" t="s">
        <v>1519</v>
      </c>
      <c r="F68" s="35">
        <f t="shared" si="0"/>
        <v>4.1237113402061855E-2</v>
      </c>
      <c r="H68" s="29" t="s">
        <v>1893</v>
      </c>
      <c r="I68">
        <v>5</v>
      </c>
      <c r="J68" s="35">
        <f t="shared" si="1"/>
        <v>0.18518518518518517</v>
      </c>
    </row>
    <row r="69" spans="1:10">
      <c r="A69" t="s">
        <v>1520</v>
      </c>
      <c r="C69">
        <v>15</v>
      </c>
      <c r="E69" s="29" t="s">
        <v>1520</v>
      </c>
      <c r="F69" s="35">
        <f t="shared" si="0"/>
        <v>0.15463917525773196</v>
      </c>
      <c r="H69" s="29" t="s">
        <v>1894</v>
      </c>
      <c r="I69">
        <v>7</v>
      </c>
      <c r="J69" s="35">
        <f t="shared" si="1"/>
        <v>0.25925925925925924</v>
      </c>
    </row>
    <row r="70" spans="1:10">
      <c r="A70" t="s">
        <v>1522</v>
      </c>
      <c r="C70">
        <v>5</v>
      </c>
      <c r="E70" s="29" t="s">
        <v>1522</v>
      </c>
      <c r="F70" s="35">
        <f t="shared" si="0"/>
        <v>5.1546391752577317E-2</v>
      </c>
      <c r="H70" s="29" t="s">
        <v>1895</v>
      </c>
      <c r="I70">
        <v>4</v>
      </c>
      <c r="J70" s="35">
        <f t="shared" si="1"/>
        <v>0.14814814814814814</v>
      </c>
    </row>
    <row r="71" spans="1:10" ht="16" thickBot="1">
      <c r="A71" t="s">
        <v>1574</v>
      </c>
      <c r="C71">
        <v>17</v>
      </c>
      <c r="E71" s="31" t="s">
        <v>1574</v>
      </c>
      <c r="F71" s="36">
        <f t="shared" si="0"/>
        <v>0.17525773195876287</v>
      </c>
      <c r="H71" s="29" t="s">
        <v>1899</v>
      </c>
      <c r="I71">
        <v>1</v>
      </c>
      <c r="J71" s="35">
        <f t="shared" si="1"/>
        <v>3.7037037037037035E-2</v>
      </c>
    </row>
    <row r="72" spans="1:10" ht="16" thickBot="1">
      <c r="A72" t="s">
        <v>1523</v>
      </c>
      <c r="C72">
        <f>SUM(C63:C71)</f>
        <v>97</v>
      </c>
      <c r="H72" s="31" t="s">
        <v>1896</v>
      </c>
      <c r="I72" s="62">
        <v>1</v>
      </c>
      <c r="J72" s="36">
        <f t="shared" si="1"/>
        <v>3.7037037037037035E-2</v>
      </c>
    </row>
    <row r="73" spans="1:10">
      <c r="E73" s="27" t="s">
        <v>1549</v>
      </c>
      <c r="F73" s="28"/>
    </row>
    <row r="74" spans="1:10" ht="16" thickBot="1">
      <c r="A74" t="s">
        <v>1525</v>
      </c>
      <c r="E74" s="29" t="s">
        <v>1526</v>
      </c>
      <c r="F74" s="35">
        <f>C75/C$86</f>
        <v>0.38834951456310679</v>
      </c>
    </row>
    <row r="75" spans="1:10">
      <c r="A75" t="s">
        <v>1526</v>
      </c>
      <c r="C75">
        <v>40</v>
      </c>
      <c r="E75" s="29" t="s">
        <v>1527</v>
      </c>
      <c r="F75" s="35">
        <f t="shared" ref="F75:F83" si="2">C76/C$86</f>
        <v>0.13592233009708737</v>
      </c>
      <c r="H75" s="27" t="s">
        <v>1518</v>
      </c>
      <c r="I75" s="61">
        <v>15</v>
      </c>
      <c r="J75" s="47"/>
    </row>
    <row r="76" spans="1:10">
      <c r="A76" t="s">
        <v>1527</v>
      </c>
      <c r="C76">
        <v>14</v>
      </c>
      <c r="E76" s="29" t="s">
        <v>1528</v>
      </c>
      <c r="F76" s="35">
        <f t="shared" si="2"/>
        <v>0.12621359223300971</v>
      </c>
      <c r="G76" t="s">
        <v>1486</v>
      </c>
      <c r="H76" s="29" t="s">
        <v>1797</v>
      </c>
      <c r="I76">
        <v>1</v>
      </c>
      <c r="J76" s="35">
        <f>I76/I$75</f>
        <v>6.6666666666666666E-2</v>
      </c>
    </row>
    <row r="77" spans="1:10" ht="16" thickBot="1">
      <c r="A77" t="s">
        <v>1528</v>
      </c>
      <c r="C77">
        <v>13</v>
      </c>
      <c r="E77" s="29" t="s">
        <v>1529</v>
      </c>
      <c r="F77" s="35">
        <f t="shared" si="2"/>
        <v>0.25242718446601942</v>
      </c>
      <c r="H77" s="31" t="s">
        <v>1798</v>
      </c>
      <c r="I77" s="62">
        <v>14</v>
      </c>
      <c r="J77" s="36">
        <f>I77/I$75</f>
        <v>0.93333333333333335</v>
      </c>
    </row>
    <row r="78" spans="1:10">
      <c r="A78" t="s">
        <v>1529</v>
      </c>
      <c r="C78">
        <v>26</v>
      </c>
      <c r="E78" s="29" t="s">
        <v>1530</v>
      </c>
      <c r="F78" s="35">
        <f t="shared" si="2"/>
        <v>9.7087378640776691E-3</v>
      </c>
    </row>
    <row r="79" spans="1:10" ht="16" thickBot="1">
      <c r="A79" t="s">
        <v>1530</v>
      </c>
      <c r="C79">
        <v>1</v>
      </c>
      <c r="E79" s="29" t="s">
        <v>1531</v>
      </c>
      <c r="F79" s="35">
        <f t="shared" si="2"/>
        <v>9.7087378640776691E-3</v>
      </c>
    </row>
    <row r="80" spans="1:10">
      <c r="A80" t="s">
        <v>1531</v>
      </c>
      <c r="C80">
        <v>1</v>
      </c>
      <c r="E80" s="29" t="s">
        <v>1532</v>
      </c>
      <c r="F80" s="35">
        <f t="shared" si="2"/>
        <v>0</v>
      </c>
      <c r="H80" s="27" t="s">
        <v>1805</v>
      </c>
      <c r="I80" s="61">
        <v>4</v>
      </c>
      <c r="J80" s="47"/>
    </row>
    <row r="81" spans="1:10">
      <c r="A81" t="s">
        <v>1532</v>
      </c>
      <c r="C81">
        <v>0</v>
      </c>
      <c r="E81" s="29" t="s">
        <v>1533</v>
      </c>
      <c r="F81" s="35">
        <f t="shared" si="2"/>
        <v>9.7087378640776691E-3</v>
      </c>
      <c r="H81" s="29" t="s">
        <v>1799</v>
      </c>
      <c r="I81">
        <v>1</v>
      </c>
      <c r="J81" s="35">
        <f t="shared" ref="J81:J86" si="3">I81/I$80</f>
        <v>0.25</v>
      </c>
    </row>
    <row r="82" spans="1:10">
      <c r="A82" t="s">
        <v>1533</v>
      </c>
      <c r="C82">
        <v>1</v>
      </c>
      <c r="E82" s="29" t="s">
        <v>1534</v>
      </c>
      <c r="F82" s="35">
        <f t="shared" si="2"/>
        <v>0</v>
      </c>
      <c r="H82" s="29" t="s">
        <v>1800</v>
      </c>
      <c r="I82">
        <v>3</v>
      </c>
      <c r="J82" s="35">
        <f t="shared" si="3"/>
        <v>0.75</v>
      </c>
    </row>
    <row r="83" spans="1:10" ht="16" thickBot="1">
      <c r="A83" t="s">
        <v>1534</v>
      </c>
      <c r="C83">
        <v>0</v>
      </c>
      <c r="E83" s="31" t="s">
        <v>1521</v>
      </c>
      <c r="F83" s="36">
        <f t="shared" si="2"/>
        <v>5.8252427184466021E-2</v>
      </c>
      <c r="H83" s="29" t="s">
        <v>1801</v>
      </c>
      <c r="I83">
        <v>0</v>
      </c>
      <c r="J83" s="35">
        <f t="shared" si="3"/>
        <v>0</v>
      </c>
    </row>
    <row r="84" spans="1:10">
      <c r="A84" t="s">
        <v>1521</v>
      </c>
      <c r="C84">
        <v>6</v>
      </c>
      <c r="H84" s="29" t="s">
        <v>1802</v>
      </c>
      <c r="I84">
        <v>0</v>
      </c>
      <c r="J84" s="35">
        <f t="shared" si="3"/>
        <v>0</v>
      </c>
    </row>
    <row r="85" spans="1:10" ht="16" thickBot="1">
      <c r="A85" t="s">
        <v>1716</v>
      </c>
      <c r="C85">
        <v>1</v>
      </c>
      <c r="H85" s="29" t="s">
        <v>1803</v>
      </c>
      <c r="I85">
        <v>0</v>
      </c>
      <c r="J85" s="35">
        <f t="shared" si="3"/>
        <v>0</v>
      </c>
    </row>
    <row r="86" spans="1:10" ht="16" thickBot="1">
      <c r="A86" t="s">
        <v>1536</v>
      </c>
      <c r="C86">
        <f>SUM(C75:C85)</f>
        <v>103</v>
      </c>
      <c r="E86" s="27" t="s">
        <v>1550</v>
      </c>
      <c r="F86" s="28"/>
      <c r="H86" s="31" t="s">
        <v>1804</v>
      </c>
      <c r="I86" s="62">
        <v>0</v>
      </c>
      <c r="J86" s="36">
        <f t="shared" si="3"/>
        <v>0</v>
      </c>
    </row>
    <row r="87" spans="1:10" ht="16" thickBot="1">
      <c r="E87" s="29" t="s">
        <v>1542</v>
      </c>
      <c r="F87" s="35">
        <f>C88/C$57</f>
        <v>0.7142857142857143</v>
      </c>
    </row>
    <row r="88" spans="1:10">
      <c r="A88" t="s">
        <v>1537</v>
      </c>
      <c r="C88">
        <v>35</v>
      </c>
      <c r="E88" s="29" t="s">
        <v>1543</v>
      </c>
      <c r="F88" s="35">
        <f>C89/C$57</f>
        <v>6.1224489795918366E-2</v>
      </c>
      <c r="H88" s="27" t="s">
        <v>1806</v>
      </c>
      <c r="I88" s="61">
        <v>0</v>
      </c>
      <c r="J88" s="47"/>
    </row>
    <row r="89" spans="1:10" ht="16" thickBot="1">
      <c r="A89" t="s">
        <v>1538</v>
      </c>
      <c r="C89">
        <v>3</v>
      </c>
      <c r="E89" s="31" t="s">
        <v>1544</v>
      </c>
      <c r="F89" s="36">
        <f>C90/C$57</f>
        <v>0.22448979591836735</v>
      </c>
      <c r="H89" s="29" t="s">
        <v>1799</v>
      </c>
      <c r="I89">
        <v>0</v>
      </c>
      <c r="J89" s="35" t="e">
        <f t="shared" ref="J89:J94" si="4">I89/I$88</f>
        <v>#DIV/0!</v>
      </c>
    </row>
    <row r="90" spans="1:10" ht="16" thickBot="1">
      <c r="A90" t="s">
        <v>1539</v>
      </c>
      <c r="C90">
        <v>11</v>
      </c>
      <c r="F90" s="45"/>
      <c r="H90" s="29" t="s">
        <v>1800</v>
      </c>
      <c r="I90">
        <v>0</v>
      </c>
      <c r="J90" s="35" t="e">
        <f t="shared" si="4"/>
        <v>#DIV/0!</v>
      </c>
    </row>
    <row r="91" spans="1:10">
      <c r="E91" s="27" t="s">
        <v>1547</v>
      </c>
      <c r="F91" s="47"/>
      <c r="H91" s="29" t="s">
        <v>1801</v>
      </c>
      <c r="I91">
        <v>0</v>
      </c>
      <c r="J91" s="35" t="e">
        <f t="shared" si="4"/>
        <v>#DIV/0!</v>
      </c>
    </row>
    <row r="92" spans="1:10">
      <c r="A92" t="s">
        <v>1547</v>
      </c>
      <c r="E92" s="29" t="s">
        <v>1596</v>
      </c>
      <c r="F92" s="35">
        <f>C93/C$57</f>
        <v>0.87755102040816324</v>
      </c>
      <c r="H92" s="29" t="s">
        <v>1802</v>
      </c>
      <c r="I92">
        <v>0</v>
      </c>
      <c r="J92" s="35" t="e">
        <f t="shared" si="4"/>
        <v>#DIV/0!</v>
      </c>
    </row>
    <row r="93" spans="1:10" ht="16" thickBot="1">
      <c r="A93" t="s">
        <v>1568</v>
      </c>
      <c r="C93">
        <v>43</v>
      </c>
      <c r="E93" s="31" t="s">
        <v>1457</v>
      </c>
      <c r="F93" s="36">
        <f>C94/C$57</f>
        <v>0.12244897959183673</v>
      </c>
      <c r="H93" s="29" t="s">
        <v>1803</v>
      </c>
      <c r="I93">
        <v>0</v>
      </c>
      <c r="J93" s="35" t="e">
        <f t="shared" si="4"/>
        <v>#DIV/0!</v>
      </c>
    </row>
    <row r="94" spans="1:10" ht="16" thickBot="1">
      <c r="A94" t="s">
        <v>1457</v>
      </c>
      <c r="C94">
        <v>6</v>
      </c>
      <c r="F94" s="48"/>
      <c r="H94" s="31" t="s">
        <v>1804</v>
      </c>
      <c r="I94" s="62">
        <v>0</v>
      </c>
      <c r="J94" s="36" t="e">
        <f t="shared" si="4"/>
        <v>#DIV/0!</v>
      </c>
    </row>
    <row r="95" spans="1:10">
      <c r="E95" s="27" t="s">
        <v>2429</v>
      </c>
      <c r="F95" s="47"/>
    </row>
    <row r="96" spans="1:10" ht="16" thickBot="1">
      <c r="A96" t="s">
        <v>2429</v>
      </c>
      <c r="E96" s="29" t="s">
        <v>2430</v>
      </c>
      <c r="F96" s="35">
        <f>C97/C$94</f>
        <v>1</v>
      </c>
    </row>
    <row r="97" spans="1:10" ht="16" thickBot="1">
      <c r="A97" t="s">
        <v>2430</v>
      </c>
      <c r="C97">
        <v>6</v>
      </c>
      <c r="E97" s="31" t="s">
        <v>2431</v>
      </c>
      <c r="F97" s="36">
        <f>C98/C$94</f>
        <v>0</v>
      </c>
      <c r="H97" s="27" t="s">
        <v>1520</v>
      </c>
      <c r="I97" s="61">
        <v>15</v>
      </c>
      <c r="J97" s="47"/>
    </row>
    <row r="98" spans="1:10" ht="16" thickBot="1">
      <c r="A98" t="s">
        <v>2431</v>
      </c>
      <c r="C98">
        <v>0</v>
      </c>
      <c r="F98" s="45"/>
      <c r="H98" s="29" t="s">
        <v>1808</v>
      </c>
      <c r="I98">
        <v>5</v>
      </c>
      <c r="J98" s="35">
        <f>I98/I$97</f>
        <v>0.33333333333333331</v>
      </c>
    </row>
    <row r="99" spans="1:10">
      <c r="C99" t="s">
        <v>1486</v>
      </c>
      <c r="E99" s="27" t="s">
        <v>1597</v>
      </c>
      <c r="F99" s="47"/>
      <c r="H99" s="29" t="s">
        <v>1809</v>
      </c>
      <c r="I99">
        <v>4</v>
      </c>
      <c r="J99" s="35">
        <f>I99/I$97</f>
        <v>0.26666666666666666</v>
      </c>
    </row>
    <row r="100" spans="1:10">
      <c r="A100" t="s">
        <v>1598</v>
      </c>
      <c r="E100" s="29" t="s">
        <v>1569</v>
      </c>
      <c r="F100" s="35">
        <f t="shared" ref="F100:F105" si="5">C101/C$57</f>
        <v>0.81632653061224492</v>
      </c>
      <c r="H100" s="29" t="s">
        <v>1810</v>
      </c>
      <c r="I100">
        <v>3</v>
      </c>
      <c r="J100" s="35">
        <f>I100/I$97</f>
        <v>0.2</v>
      </c>
    </row>
    <row r="101" spans="1:10" ht="16" thickBot="1">
      <c r="A101" t="s">
        <v>1569</v>
      </c>
      <c r="C101">
        <v>40</v>
      </c>
      <c r="E101" s="29" t="s">
        <v>1571</v>
      </c>
      <c r="F101" s="35">
        <f t="shared" si="5"/>
        <v>6.1224489795918366E-2</v>
      </c>
      <c r="H101" s="31" t="s">
        <v>1811</v>
      </c>
      <c r="I101" s="62">
        <v>3</v>
      </c>
      <c r="J101" s="36">
        <f>I101/I$97</f>
        <v>0.2</v>
      </c>
    </row>
    <row r="102" spans="1:10">
      <c r="A102" t="s">
        <v>1571</v>
      </c>
      <c r="C102">
        <v>3</v>
      </c>
      <c r="E102" s="29" t="s">
        <v>1572</v>
      </c>
      <c r="F102" s="35">
        <f t="shared" si="5"/>
        <v>0</v>
      </c>
    </row>
    <row r="103" spans="1:10" ht="16" thickBot="1">
      <c r="A103" t="s">
        <v>1572</v>
      </c>
      <c r="C103">
        <v>0</v>
      </c>
      <c r="E103" s="29" t="s">
        <v>1573</v>
      </c>
      <c r="F103" s="35">
        <f t="shared" si="5"/>
        <v>0</v>
      </c>
    </row>
    <row r="104" spans="1:10">
      <c r="A104" t="s">
        <v>1573</v>
      </c>
      <c r="C104">
        <v>0</v>
      </c>
      <c r="E104" s="29" t="s">
        <v>1570</v>
      </c>
      <c r="F104" s="35">
        <f t="shared" si="5"/>
        <v>0.12244897959183673</v>
      </c>
      <c r="H104" s="27" t="s">
        <v>1574</v>
      </c>
      <c r="I104" s="61">
        <v>17</v>
      </c>
      <c r="J104" s="47"/>
    </row>
    <row r="105" spans="1:10" ht="16" thickBot="1">
      <c r="A105" t="s">
        <v>1570</v>
      </c>
      <c r="C105">
        <v>6</v>
      </c>
      <c r="E105" s="31" t="s">
        <v>1574</v>
      </c>
      <c r="F105" s="36">
        <f t="shared" si="5"/>
        <v>0</v>
      </c>
      <c r="H105" s="29" t="s">
        <v>1812</v>
      </c>
      <c r="I105">
        <v>0</v>
      </c>
      <c r="J105" s="35">
        <f>I105/I$104</f>
        <v>0</v>
      </c>
    </row>
    <row r="106" spans="1:10" ht="16" thickBot="1">
      <c r="A106" t="s">
        <v>1574</v>
      </c>
      <c r="C106">
        <v>0</v>
      </c>
      <c r="F106" s="45"/>
      <c r="H106" s="29" t="s">
        <v>1813</v>
      </c>
      <c r="I106">
        <v>2</v>
      </c>
      <c r="J106" s="35">
        <f t="shared" ref="J106:J111" si="6">I106/I$104</f>
        <v>0.11764705882352941</v>
      </c>
    </row>
    <row r="107" spans="1:10">
      <c r="E107" s="27" t="s">
        <v>1551</v>
      </c>
      <c r="F107" s="47"/>
      <c r="H107" s="29" t="s">
        <v>1814</v>
      </c>
      <c r="I107">
        <v>3</v>
      </c>
      <c r="J107" s="35">
        <f t="shared" si="6"/>
        <v>0.17647058823529413</v>
      </c>
    </row>
    <row r="108" spans="1:10">
      <c r="A108" t="s">
        <v>1540</v>
      </c>
      <c r="C108">
        <v>5</v>
      </c>
      <c r="E108" s="29" t="s">
        <v>1506</v>
      </c>
      <c r="F108" s="35">
        <f t="shared" ref="F108:F113" si="7">C109/C$57</f>
        <v>0.69387755102040816</v>
      </c>
      <c r="H108" s="29" t="s">
        <v>1716</v>
      </c>
      <c r="I108">
        <v>1</v>
      </c>
      <c r="J108" s="35">
        <f t="shared" si="6"/>
        <v>5.8823529411764705E-2</v>
      </c>
    </row>
    <row r="109" spans="1:10">
      <c r="A109" t="s">
        <v>1506</v>
      </c>
      <c r="C109">
        <v>34</v>
      </c>
      <c r="E109" s="29" t="s">
        <v>1503</v>
      </c>
      <c r="F109" s="35">
        <f t="shared" si="7"/>
        <v>0.10204081632653061</v>
      </c>
      <c r="H109" s="29" t="s">
        <v>1815</v>
      </c>
      <c r="I109">
        <v>4</v>
      </c>
      <c r="J109" s="35">
        <f t="shared" si="6"/>
        <v>0.23529411764705882</v>
      </c>
    </row>
    <row r="110" spans="1:10">
      <c r="A110" t="s">
        <v>1503</v>
      </c>
      <c r="C110">
        <v>5</v>
      </c>
      <c r="E110" s="29" t="s">
        <v>1502</v>
      </c>
      <c r="F110" s="35">
        <f t="shared" si="7"/>
        <v>0.14285714285714285</v>
      </c>
      <c r="H110" s="29" t="s">
        <v>1820</v>
      </c>
      <c r="I110">
        <v>2</v>
      </c>
      <c r="J110" s="35">
        <f t="shared" si="6"/>
        <v>0.11764705882352941</v>
      </c>
    </row>
    <row r="111" spans="1:10" ht="16" thickBot="1">
      <c r="A111" t="s">
        <v>1502</v>
      </c>
      <c r="C111">
        <v>7</v>
      </c>
      <c r="E111" s="29" t="s">
        <v>1507</v>
      </c>
      <c r="F111" s="35">
        <f t="shared" si="7"/>
        <v>4.0816326530612242E-2</v>
      </c>
      <c r="H111" s="31" t="s">
        <v>1920</v>
      </c>
      <c r="I111" s="62">
        <v>3</v>
      </c>
      <c r="J111" s="36">
        <f t="shared" si="6"/>
        <v>0.17647058823529413</v>
      </c>
    </row>
    <row r="112" spans="1:10">
      <c r="A112" t="s">
        <v>1507</v>
      </c>
      <c r="C112">
        <v>2</v>
      </c>
      <c r="E112" s="29" t="s">
        <v>1505</v>
      </c>
      <c r="F112" s="35">
        <f t="shared" si="7"/>
        <v>2.0408163265306121E-2</v>
      </c>
    </row>
    <row r="113" spans="1:6" ht="16" thickBot="1">
      <c r="A113" t="s">
        <v>1505</v>
      </c>
      <c r="C113">
        <v>1</v>
      </c>
      <c r="E113" s="31" t="s">
        <v>1504</v>
      </c>
      <c r="F113" s="36">
        <f t="shared" si="7"/>
        <v>0</v>
      </c>
    </row>
    <row r="114" spans="1:6">
      <c r="A114" t="s">
        <v>1504</v>
      </c>
      <c r="C114">
        <v>0</v>
      </c>
    </row>
  </sheetData>
  <mergeCells count="1">
    <mergeCell ref="A53:F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4"/>
  <sheetViews>
    <sheetView topLeftCell="A25" workbookViewId="0">
      <selection activeCell="I47" sqref="I47"/>
    </sheetView>
  </sheetViews>
  <sheetFormatPr baseColWidth="10" defaultRowHeight="15"/>
  <cols>
    <col min="2" max="2" width="33.83203125" customWidth="1"/>
    <col min="7" max="7" width="55.6640625" customWidth="1"/>
    <col min="8" max="8" width="53.83203125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44440</v>
      </c>
      <c r="B2" t="s">
        <v>1278</v>
      </c>
      <c r="C2" t="s">
        <v>1503</v>
      </c>
      <c r="D2" t="s">
        <v>1509</v>
      </c>
      <c r="E2" t="s">
        <v>1281</v>
      </c>
      <c r="F2" s="8">
        <v>2000</v>
      </c>
      <c r="G2" t="s">
        <v>1282</v>
      </c>
      <c r="H2" t="s">
        <v>1283</v>
      </c>
    </row>
    <row r="3" spans="1:8">
      <c r="A3" s="6">
        <v>44440</v>
      </c>
      <c r="B3" t="s">
        <v>1285</v>
      </c>
      <c r="C3" t="s">
        <v>1506</v>
      </c>
      <c r="D3" t="s">
        <v>1509</v>
      </c>
      <c r="E3" t="s">
        <v>18</v>
      </c>
      <c r="F3" s="8">
        <v>2569.3000000000002</v>
      </c>
      <c r="G3" t="s">
        <v>1288</v>
      </c>
      <c r="H3" t="s">
        <v>1312</v>
      </c>
    </row>
    <row r="4" spans="1:8">
      <c r="A4" s="6">
        <v>44441</v>
      </c>
      <c r="B4" t="s">
        <v>1301</v>
      </c>
      <c r="C4" t="s">
        <v>1506</v>
      </c>
      <c r="D4" t="s">
        <v>1509</v>
      </c>
      <c r="E4" t="s">
        <v>18</v>
      </c>
      <c r="F4" s="8">
        <v>2253</v>
      </c>
      <c r="G4" t="s">
        <v>1304</v>
      </c>
      <c r="H4" t="s">
        <v>403</v>
      </c>
    </row>
    <row r="5" spans="1:8">
      <c r="A5" s="6">
        <v>44442</v>
      </c>
      <c r="B5" t="s">
        <v>744</v>
      </c>
      <c r="C5" t="s">
        <v>1507</v>
      </c>
      <c r="D5" t="s">
        <v>1509</v>
      </c>
      <c r="E5" t="s">
        <v>1455</v>
      </c>
      <c r="F5" s="8">
        <v>982.8</v>
      </c>
      <c r="G5" t="s">
        <v>1491</v>
      </c>
      <c r="H5" t="s">
        <v>1457</v>
      </c>
    </row>
    <row r="6" spans="1:8">
      <c r="A6" s="6">
        <v>44445</v>
      </c>
      <c r="B6" t="s">
        <v>1314</v>
      </c>
      <c r="C6" t="s">
        <v>1506</v>
      </c>
      <c r="D6" t="s">
        <v>1509</v>
      </c>
      <c r="E6" t="s">
        <v>18</v>
      </c>
      <c r="F6" s="8">
        <v>2086.1999999999998</v>
      </c>
      <c r="G6" t="s">
        <v>1317</v>
      </c>
      <c r="H6" t="s">
        <v>1299</v>
      </c>
    </row>
    <row r="7" spans="1:8">
      <c r="A7" s="6">
        <v>44446</v>
      </c>
      <c r="B7" t="s">
        <v>1320</v>
      </c>
      <c r="C7" t="s">
        <v>1507</v>
      </c>
      <c r="D7" t="s">
        <v>1509</v>
      </c>
      <c r="E7" t="s">
        <v>18</v>
      </c>
      <c r="F7" s="8">
        <v>1076</v>
      </c>
      <c r="G7" t="s">
        <v>1323</v>
      </c>
      <c r="H7" t="s">
        <v>1720</v>
      </c>
    </row>
    <row r="8" spans="1:8">
      <c r="A8" s="6">
        <v>44440</v>
      </c>
      <c r="B8" t="s">
        <v>310</v>
      </c>
      <c r="C8" t="s">
        <v>1506</v>
      </c>
      <c r="D8" t="s">
        <v>1509</v>
      </c>
      <c r="E8" t="s">
        <v>1455</v>
      </c>
      <c r="F8" s="8">
        <v>453.6</v>
      </c>
      <c r="G8" t="s">
        <v>1478</v>
      </c>
      <c r="H8" t="s">
        <v>1457</v>
      </c>
    </row>
    <row r="9" spans="1:8">
      <c r="A9" s="6">
        <v>44446</v>
      </c>
      <c r="B9" t="s">
        <v>1328</v>
      </c>
      <c r="C9" t="s">
        <v>1506</v>
      </c>
      <c r="D9" t="s">
        <v>1509</v>
      </c>
      <c r="E9" t="s">
        <v>18</v>
      </c>
      <c r="F9" s="8">
        <v>1543.3</v>
      </c>
      <c r="G9" t="s">
        <v>1331</v>
      </c>
      <c r="H9" t="s">
        <v>588</v>
      </c>
    </row>
    <row r="10" spans="1:8">
      <c r="A10" s="6">
        <v>44449</v>
      </c>
      <c r="B10" t="s">
        <v>1335</v>
      </c>
      <c r="C10" t="s">
        <v>1506</v>
      </c>
      <c r="D10" t="s">
        <v>1509</v>
      </c>
      <c r="E10" t="s">
        <v>18</v>
      </c>
      <c r="F10" s="8">
        <v>1493.4</v>
      </c>
      <c r="G10" t="s">
        <v>1338</v>
      </c>
      <c r="H10" t="s">
        <v>1415</v>
      </c>
    </row>
    <row r="11" spans="1:8">
      <c r="A11" s="6">
        <v>44452</v>
      </c>
      <c r="B11" t="s">
        <v>1340</v>
      </c>
      <c r="C11" t="s">
        <v>1506</v>
      </c>
      <c r="D11" t="s">
        <v>1509</v>
      </c>
      <c r="E11" t="s">
        <v>18</v>
      </c>
      <c r="F11" s="8">
        <v>2672.1</v>
      </c>
      <c r="G11" t="s">
        <v>1343</v>
      </c>
      <c r="H11" t="s">
        <v>681</v>
      </c>
    </row>
    <row r="12" spans="1:8">
      <c r="A12" s="6">
        <v>44452</v>
      </c>
      <c r="B12" t="s">
        <v>1346</v>
      </c>
      <c r="C12" t="s">
        <v>1506</v>
      </c>
      <c r="D12" t="s">
        <v>1509</v>
      </c>
      <c r="E12" t="s">
        <v>18</v>
      </c>
      <c r="F12" s="8">
        <v>981.8</v>
      </c>
      <c r="G12" t="s">
        <v>1349</v>
      </c>
      <c r="H12" t="s">
        <v>1355</v>
      </c>
    </row>
    <row r="13" spans="1:8">
      <c r="A13" s="6">
        <v>44453</v>
      </c>
      <c r="B13" t="s">
        <v>1351</v>
      </c>
      <c r="C13" t="s">
        <v>1506</v>
      </c>
      <c r="D13" t="s">
        <v>1509</v>
      </c>
      <c r="E13" t="s">
        <v>18</v>
      </c>
      <c r="F13" s="8">
        <v>1634</v>
      </c>
      <c r="G13" t="s">
        <v>1354</v>
      </c>
      <c r="H13" t="s">
        <v>403</v>
      </c>
    </row>
    <row r="14" spans="1:8">
      <c r="A14" s="6">
        <v>44453</v>
      </c>
      <c r="B14" t="s">
        <v>1357</v>
      </c>
      <c r="C14" t="s">
        <v>1502</v>
      </c>
      <c r="D14" t="s">
        <v>1509</v>
      </c>
      <c r="E14" t="s">
        <v>18</v>
      </c>
      <c r="F14" s="8">
        <v>1918.8</v>
      </c>
      <c r="G14" t="s">
        <v>1718</v>
      </c>
      <c r="H14" t="s">
        <v>1366</v>
      </c>
    </row>
    <row r="15" spans="1:8">
      <c r="A15" s="6">
        <v>44454</v>
      </c>
      <c r="B15" t="s">
        <v>1362</v>
      </c>
      <c r="C15" t="s">
        <v>1503</v>
      </c>
      <c r="D15" t="s">
        <v>1509</v>
      </c>
      <c r="E15" t="s">
        <v>18</v>
      </c>
      <c r="F15" s="8">
        <v>1299.5999999999999</v>
      </c>
      <c r="G15" t="s">
        <v>1365</v>
      </c>
      <c r="H15" t="s">
        <v>1367</v>
      </c>
    </row>
    <row r="16" spans="1:8">
      <c r="A16" s="6">
        <v>44457</v>
      </c>
      <c r="B16" t="s">
        <v>1369</v>
      </c>
      <c r="C16" t="s">
        <v>1503</v>
      </c>
      <c r="D16" t="s">
        <v>1509</v>
      </c>
      <c r="E16" t="s">
        <v>18</v>
      </c>
      <c r="F16" s="8">
        <v>2790.79</v>
      </c>
      <c r="G16" t="s">
        <v>1372</v>
      </c>
      <c r="H16" t="s">
        <v>1722</v>
      </c>
    </row>
    <row r="17" spans="1:9">
      <c r="A17" s="6">
        <v>44442</v>
      </c>
      <c r="B17" t="s">
        <v>2420</v>
      </c>
      <c r="C17" t="s">
        <v>1506</v>
      </c>
      <c r="D17" t="s">
        <v>1509</v>
      </c>
      <c r="E17" t="s">
        <v>18</v>
      </c>
      <c r="F17" s="8">
        <v>2943.54</v>
      </c>
      <c r="G17" t="s">
        <v>1377</v>
      </c>
      <c r="H17" t="s">
        <v>681</v>
      </c>
    </row>
    <row r="18" spans="1:9">
      <c r="A18" s="6">
        <v>44459</v>
      </c>
      <c r="B18" t="s">
        <v>1379</v>
      </c>
      <c r="C18" t="s">
        <v>1506</v>
      </c>
      <c r="D18" t="s">
        <v>1510</v>
      </c>
      <c r="E18" t="s">
        <v>18</v>
      </c>
      <c r="F18" s="8">
        <v>745</v>
      </c>
      <c r="G18" t="s">
        <v>1382</v>
      </c>
      <c r="H18" t="s">
        <v>1383</v>
      </c>
    </row>
    <row r="19" spans="1:9">
      <c r="A19" s="6">
        <v>44459</v>
      </c>
      <c r="B19" t="s">
        <v>1120</v>
      </c>
      <c r="C19" t="s">
        <v>1506</v>
      </c>
      <c r="D19" t="s">
        <v>1509</v>
      </c>
      <c r="E19" t="s">
        <v>1455</v>
      </c>
      <c r="F19" s="8">
        <v>1311</v>
      </c>
      <c r="G19" t="s">
        <v>829</v>
      </c>
      <c r="H19" t="s">
        <v>1721</v>
      </c>
    </row>
    <row r="20" spans="1:9">
      <c r="A20" s="6">
        <v>44460</v>
      </c>
      <c r="B20" t="s">
        <v>1388</v>
      </c>
      <c r="C20" t="s">
        <v>1503</v>
      </c>
      <c r="D20" t="s">
        <v>1509</v>
      </c>
      <c r="E20" t="s">
        <v>18</v>
      </c>
      <c r="F20" s="8">
        <v>901</v>
      </c>
      <c r="G20" t="s">
        <v>587</v>
      </c>
      <c r="H20" t="s">
        <v>1401</v>
      </c>
    </row>
    <row r="21" spans="1:9">
      <c r="A21" s="6">
        <v>44461</v>
      </c>
      <c r="B21" t="s">
        <v>1392</v>
      </c>
      <c r="C21" t="s">
        <v>1505</v>
      </c>
      <c r="D21" t="s">
        <v>1509</v>
      </c>
      <c r="E21" t="s">
        <v>18</v>
      </c>
      <c r="F21" s="8">
        <v>1699.35</v>
      </c>
      <c r="G21" t="s">
        <v>1395</v>
      </c>
      <c r="H21" t="s">
        <v>537</v>
      </c>
      <c r="I21" t="s">
        <v>1486</v>
      </c>
    </row>
    <row r="22" spans="1:9">
      <c r="A22" s="6">
        <v>44461</v>
      </c>
      <c r="B22" t="s">
        <v>1651</v>
      </c>
      <c r="C22" t="s">
        <v>1503</v>
      </c>
      <c r="D22" t="s">
        <v>1509</v>
      </c>
      <c r="E22" t="s">
        <v>18</v>
      </c>
      <c r="F22" s="8">
        <v>512.5</v>
      </c>
      <c r="G22" t="s">
        <v>35</v>
      </c>
      <c r="H22" t="s">
        <v>403</v>
      </c>
    </row>
    <row r="23" spans="1:9">
      <c r="A23" s="6">
        <v>44456</v>
      </c>
      <c r="B23" t="s">
        <v>1397</v>
      </c>
      <c r="C23" t="s">
        <v>1503</v>
      </c>
      <c r="D23" t="s">
        <v>1509</v>
      </c>
      <c r="E23" t="s">
        <v>18</v>
      </c>
      <c r="F23" s="8">
        <v>1533.6</v>
      </c>
      <c r="G23" t="s">
        <v>1719</v>
      </c>
      <c r="H23" t="s">
        <v>681</v>
      </c>
    </row>
    <row r="24" spans="1:9">
      <c r="A24" s="6">
        <v>44462</v>
      </c>
      <c r="B24" t="s">
        <v>1402</v>
      </c>
      <c r="C24" t="s">
        <v>1503</v>
      </c>
      <c r="D24" t="s">
        <v>1509</v>
      </c>
      <c r="E24" t="s">
        <v>18</v>
      </c>
      <c r="F24" s="8">
        <v>1362</v>
      </c>
      <c r="G24" t="s">
        <v>1405</v>
      </c>
      <c r="H24" t="s">
        <v>1723</v>
      </c>
    </row>
    <row r="25" spans="1:9">
      <c r="A25" s="6">
        <v>44446</v>
      </c>
      <c r="B25" t="s">
        <v>1407</v>
      </c>
      <c r="C25" t="s">
        <v>1506</v>
      </c>
      <c r="D25" t="s">
        <v>1510</v>
      </c>
      <c r="E25" t="s">
        <v>18</v>
      </c>
      <c r="F25" s="8">
        <v>806.76</v>
      </c>
      <c r="G25" t="s">
        <v>1410</v>
      </c>
      <c r="H25" t="s">
        <v>1721</v>
      </c>
    </row>
    <row r="26" spans="1:9">
      <c r="A26" s="6">
        <v>44449</v>
      </c>
      <c r="B26" t="s">
        <v>1411</v>
      </c>
      <c r="C26" t="s">
        <v>1506</v>
      </c>
      <c r="D26" t="s">
        <v>1509</v>
      </c>
      <c r="E26" t="s">
        <v>18</v>
      </c>
      <c r="F26" s="8">
        <v>1889.6</v>
      </c>
      <c r="G26" t="s">
        <v>1414</v>
      </c>
      <c r="H26" t="s">
        <v>1457</v>
      </c>
    </row>
    <row r="27" spans="1:9">
      <c r="A27" s="6">
        <v>44464</v>
      </c>
      <c r="B27" t="s">
        <v>1417</v>
      </c>
      <c r="C27" t="s">
        <v>1502</v>
      </c>
      <c r="D27" t="s">
        <v>1509</v>
      </c>
      <c r="E27" t="s">
        <v>18</v>
      </c>
      <c r="F27" s="8">
        <v>1386.05</v>
      </c>
      <c r="G27" t="s">
        <v>1420</v>
      </c>
      <c r="H27" t="s">
        <v>94</v>
      </c>
    </row>
    <row r="28" spans="1:9">
      <c r="A28" s="6">
        <v>44466</v>
      </c>
      <c r="B28" t="s">
        <v>538</v>
      </c>
      <c r="C28" t="s">
        <v>1506</v>
      </c>
      <c r="D28" t="s">
        <v>1509</v>
      </c>
      <c r="E28" t="s">
        <v>18</v>
      </c>
      <c r="F28" s="8">
        <v>860</v>
      </c>
      <c r="G28" t="s">
        <v>732</v>
      </c>
      <c r="H28" t="s">
        <v>1677</v>
      </c>
    </row>
    <row r="29" spans="1:9">
      <c r="A29" s="6">
        <v>44466</v>
      </c>
      <c r="B29" t="s">
        <v>1426</v>
      </c>
      <c r="C29" t="s">
        <v>1506</v>
      </c>
      <c r="D29" t="s">
        <v>1509</v>
      </c>
      <c r="E29" t="s">
        <v>18</v>
      </c>
      <c r="F29" s="8">
        <v>999</v>
      </c>
      <c r="G29" t="s">
        <v>1429</v>
      </c>
      <c r="H29" t="s">
        <v>1444</v>
      </c>
    </row>
    <row r="30" spans="1:9">
      <c r="A30" s="6">
        <v>44460</v>
      </c>
      <c r="B30" t="s">
        <v>1431</v>
      </c>
      <c r="C30" t="s">
        <v>1503</v>
      </c>
      <c r="D30" t="s">
        <v>1509</v>
      </c>
      <c r="E30" t="s">
        <v>18</v>
      </c>
      <c r="F30" s="8">
        <v>982.5</v>
      </c>
      <c r="G30" t="s">
        <v>1717</v>
      </c>
      <c r="H30" t="s">
        <v>38</v>
      </c>
    </row>
    <row r="31" spans="1:9">
      <c r="A31" s="6">
        <v>44467</v>
      </c>
      <c r="B31" t="s">
        <v>1436</v>
      </c>
      <c r="C31" t="s">
        <v>1506</v>
      </c>
      <c r="D31" t="s">
        <v>1509</v>
      </c>
      <c r="E31" t="s">
        <v>18</v>
      </c>
      <c r="F31" s="8">
        <v>1032</v>
      </c>
      <c r="G31" t="s">
        <v>662</v>
      </c>
      <c r="H31" t="s">
        <v>681</v>
      </c>
    </row>
    <row r="32" spans="1:9">
      <c r="A32" s="6">
        <v>44467</v>
      </c>
      <c r="B32" t="s">
        <v>1440</v>
      </c>
      <c r="C32" t="s">
        <v>1502</v>
      </c>
      <c r="D32" t="s">
        <v>1509</v>
      </c>
      <c r="E32" t="s">
        <v>18</v>
      </c>
      <c r="F32" s="8">
        <v>1228.5</v>
      </c>
      <c r="G32" t="s">
        <v>1080</v>
      </c>
      <c r="H32" t="s">
        <v>959</v>
      </c>
    </row>
    <row r="33" spans="1:10">
      <c r="A33" s="6">
        <v>44468</v>
      </c>
      <c r="B33" t="s">
        <v>1446</v>
      </c>
      <c r="C33" t="s">
        <v>1506</v>
      </c>
      <c r="D33" t="s">
        <v>1509</v>
      </c>
      <c r="E33" t="s">
        <v>63</v>
      </c>
      <c r="F33" s="8">
        <v>1046</v>
      </c>
      <c r="G33" t="s">
        <v>1449</v>
      </c>
      <c r="H33" t="s">
        <v>792</v>
      </c>
    </row>
    <row r="34" spans="1:10">
      <c r="A34" s="6">
        <v>44468</v>
      </c>
      <c r="B34" t="s">
        <v>1451</v>
      </c>
      <c r="C34" t="s">
        <v>1506</v>
      </c>
      <c r="D34" t="s">
        <v>1509</v>
      </c>
      <c r="E34" t="s">
        <v>18</v>
      </c>
      <c r="F34" s="8">
        <v>860</v>
      </c>
      <c r="G34" t="s">
        <v>732</v>
      </c>
      <c r="H34" t="s">
        <v>1454</v>
      </c>
    </row>
    <row r="35" spans="1:10">
      <c r="A35" s="6">
        <v>44469</v>
      </c>
      <c r="B35" t="s">
        <v>1411</v>
      </c>
      <c r="C35" t="s">
        <v>1506</v>
      </c>
      <c r="D35" t="s">
        <v>1509</v>
      </c>
      <c r="E35" t="s">
        <v>1455</v>
      </c>
      <c r="F35" s="8">
        <v>968</v>
      </c>
      <c r="G35" t="s">
        <v>1475</v>
      </c>
      <c r="H35" t="s">
        <v>1457</v>
      </c>
    </row>
    <row r="36" spans="1:10">
      <c r="A36" s="6">
        <v>44448</v>
      </c>
      <c r="B36" t="s">
        <v>936</v>
      </c>
      <c r="C36" t="s">
        <v>1506</v>
      </c>
      <c r="D36" t="s">
        <v>1509</v>
      </c>
      <c r="E36" t="s">
        <v>1455</v>
      </c>
      <c r="F36" s="8">
        <v>800</v>
      </c>
      <c r="G36" t="s">
        <v>1559</v>
      </c>
      <c r="H36" t="s">
        <v>1457</v>
      </c>
    </row>
    <row r="37" spans="1:10">
      <c r="A37" s="6">
        <v>44464</v>
      </c>
      <c r="B37" t="s">
        <v>1556</v>
      </c>
      <c r="C37" t="s">
        <v>1502</v>
      </c>
      <c r="D37" t="s">
        <v>1509</v>
      </c>
      <c r="E37" t="s">
        <v>1557</v>
      </c>
      <c r="F37" s="8">
        <v>550</v>
      </c>
      <c r="G37" t="s">
        <v>1558</v>
      </c>
      <c r="H37" t="s">
        <v>681</v>
      </c>
    </row>
    <row r="38" spans="1:10">
      <c r="A38" s="6">
        <v>44461</v>
      </c>
      <c r="B38" t="s">
        <v>1576</v>
      </c>
      <c r="C38" t="s">
        <v>1506</v>
      </c>
      <c r="D38" t="s">
        <v>1509</v>
      </c>
      <c r="E38" t="s">
        <v>18</v>
      </c>
      <c r="F38" s="8">
        <v>1220</v>
      </c>
      <c r="G38" t="s">
        <v>1496</v>
      </c>
      <c r="H38" t="s">
        <v>681</v>
      </c>
    </row>
    <row r="39" spans="1:10">
      <c r="A39" s="6">
        <v>44464</v>
      </c>
      <c r="B39" t="s">
        <v>1594</v>
      </c>
      <c r="C39" t="s">
        <v>1506</v>
      </c>
      <c r="D39" t="s">
        <v>1509</v>
      </c>
      <c r="E39" t="s">
        <v>1455</v>
      </c>
      <c r="F39" s="8">
        <v>819</v>
      </c>
      <c r="G39" t="s">
        <v>1496</v>
      </c>
      <c r="H39" t="s">
        <v>1457</v>
      </c>
    </row>
    <row r="40" spans="1:10">
      <c r="A40" s="6">
        <v>44466</v>
      </c>
      <c r="B40" t="s">
        <v>1582</v>
      </c>
      <c r="C40" t="s">
        <v>1506</v>
      </c>
      <c r="D40" t="s">
        <v>1509</v>
      </c>
      <c r="E40" t="s">
        <v>18</v>
      </c>
      <c r="F40" s="8">
        <v>1559.25</v>
      </c>
      <c r="G40" t="s">
        <v>1595</v>
      </c>
      <c r="H40" t="s">
        <v>681</v>
      </c>
    </row>
    <row r="41" spans="1:10">
      <c r="A41" s="6">
        <v>44462</v>
      </c>
      <c r="B41" t="s">
        <v>1661</v>
      </c>
      <c r="C41" t="s">
        <v>1502</v>
      </c>
      <c r="D41" t="s">
        <v>1509</v>
      </c>
      <c r="E41" t="s">
        <v>63</v>
      </c>
      <c r="F41" s="8">
        <v>1055.5999999999999</v>
      </c>
      <c r="G41" t="s">
        <v>1665</v>
      </c>
      <c r="H41" t="s">
        <v>1666</v>
      </c>
    </row>
    <row r="44" spans="1:10" ht="16" thickBot="1">
      <c r="A44" s="106" t="s">
        <v>1541</v>
      </c>
      <c r="B44" s="106"/>
      <c r="C44" s="106"/>
      <c r="D44" s="106"/>
      <c r="E44" s="106"/>
      <c r="F44" s="106"/>
    </row>
    <row r="45" spans="1:10">
      <c r="A45" t="s">
        <v>1513</v>
      </c>
      <c r="C45" s="8">
        <f>SUM(F2:F41)</f>
        <v>54824.939999999995</v>
      </c>
      <c r="E45" s="27" t="s">
        <v>1546</v>
      </c>
      <c r="F45" s="28"/>
      <c r="H45" s="27" t="s">
        <v>1515</v>
      </c>
      <c r="I45" s="61">
        <v>14</v>
      </c>
      <c r="J45" s="47"/>
    </row>
    <row r="46" spans="1:10">
      <c r="E46" s="29" t="s">
        <v>1552</v>
      </c>
      <c r="F46" s="50">
        <v>54824.939999999995</v>
      </c>
      <c r="H46" s="29" t="s">
        <v>1768</v>
      </c>
      <c r="I46">
        <v>0</v>
      </c>
      <c r="J46" s="35">
        <f>I46/I$45</f>
        <v>0</v>
      </c>
    </row>
    <row r="47" spans="1:10" ht="16" thickBot="1">
      <c r="A47" t="s">
        <v>1545</v>
      </c>
      <c r="C47">
        <v>24</v>
      </c>
      <c r="E47" s="31" t="s">
        <v>1553</v>
      </c>
      <c r="F47" s="42">
        <f>C45/C47</f>
        <v>2284.3724999999999</v>
      </c>
      <c r="H47" s="29" t="s">
        <v>1769</v>
      </c>
      <c r="I47">
        <v>14</v>
      </c>
      <c r="J47" s="35">
        <f>I47/I$45</f>
        <v>1</v>
      </c>
    </row>
    <row r="48" spans="1:10" ht="16" thickBot="1">
      <c r="A48" t="s">
        <v>1535</v>
      </c>
      <c r="C48">
        <v>40</v>
      </c>
      <c r="H48" s="31" t="s">
        <v>1770</v>
      </c>
      <c r="I48" s="62">
        <v>0</v>
      </c>
      <c r="J48" s="36">
        <f>I48/I$45</f>
        <v>0</v>
      </c>
    </row>
    <row r="49" spans="1:10">
      <c r="D49" t="s">
        <v>1486</v>
      </c>
      <c r="E49" s="27" t="s">
        <v>1547</v>
      </c>
      <c r="F49" s="28"/>
    </row>
    <row r="50" spans="1:10" ht="16" thickBot="1">
      <c r="A50" t="s">
        <v>1511</v>
      </c>
      <c r="C50">
        <v>38</v>
      </c>
      <c r="D50" t="s">
        <v>1486</v>
      </c>
      <c r="E50" s="29" t="s">
        <v>1509</v>
      </c>
      <c r="F50" s="35">
        <f>C50/C$48</f>
        <v>0.95</v>
      </c>
    </row>
    <row r="51" spans="1:10" ht="16" thickBot="1">
      <c r="A51" t="s">
        <v>1512</v>
      </c>
      <c r="C51">
        <v>2</v>
      </c>
      <c r="E51" s="31" t="s">
        <v>1510</v>
      </c>
      <c r="F51" s="36">
        <f>C51/C$48</f>
        <v>0.05</v>
      </c>
      <c r="H51" s="27" t="s">
        <v>1807</v>
      </c>
      <c r="I51" s="61">
        <v>20</v>
      </c>
      <c r="J51" s="47"/>
    </row>
    <row r="52" spans="1:10" ht="16" thickBot="1">
      <c r="H52" s="29" t="s">
        <v>1771</v>
      </c>
      <c r="I52">
        <v>9</v>
      </c>
      <c r="J52" s="35">
        <f>I52/I$51</f>
        <v>0.45</v>
      </c>
    </row>
    <row r="53" spans="1:10">
      <c r="A53" t="s">
        <v>1524</v>
      </c>
      <c r="E53" s="27" t="s">
        <v>1548</v>
      </c>
      <c r="F53" s="28"/>
      <c r="H53" s="29" t="s">
        <v>1772</v>
      </c>
      <c r="I53">
        <v>8</v>
      </c>
      <c r="J53" s="35">
        <f>I53/I$51</f>
        <v>0.4</v>
      </c>
    </row>
    <row r="54" spans="1:10">
      <c r="A54" t="s">
        <v>1514</v>
      </c>
      <c r="C54">
        <v>2</v>
      </c>
      <c r="E54" s="29" t="s">
        <v>1514</v>
      </c>
      <c r="F54" s="35">
        <f>C54/C$63</f>
        <v>2.9411764705882353E-2</v>
      </c>
      <c r="H54" s="29" t="s">
        <v>1773</v>
      </c>
      <c r="I54">
        <v>3</v>
      </c>
      <c r="J54" s="35">
        <f>I54/I$51</f>
        <v>0.15</v>
      </c>
    </row>
    <row r="55" spans="1:10">
      <c r="A55" t="s">
        <v>1515</v>
      </c>
      <c r="C55">
        <v>14</v>
      </c>
      <c r="E55" s="29" t="s">
        <v>1515</v>
      </c>
      <c r="F55" s="35">
        <f t="shared" ref="F55:F62" si="0">C55/C$63</f>
        <v>0.20588235294117646</v>
      </c>
      <c r="H55" s="29"/>
      <c r="J55" s="35"/>
    </row>
    <row r="56" spans="1:10">
      <c r="A56" t="s">
        <v>1516</v>
      </c>
      <c r="C56">
        <v>20</v>
      </c>
      <c r="E56" s="29" t="s">
        <v>1516</v>
      </c>
      <c r="F56" s="35">
        <f t="shared" si="0"/>
        <v>0.29411764705882354</v>
      </c>
      <c r="H56" s="29" t="s">
        <v>1818</v>
      </c>
      <c r="I56">
        <v>1</v>
      </c>
      <c r="J56" s="35">
        <f>I56/I$51</f>
        <v>0.05</v>
      </c>
    </row>
    <row r="57" spans="1:10">
      <c r="A57" t="s">
        <v>1517</v>
      </c>
      <c r="C57">
        <v>0</v>
      </c>
      <c r="E57" s="29" t="s">
        <v>1517</v>
      </c>
      <c r="F57" s="35">
        <f t="shared" si="0"/>
        <v>0</v>
      </c>
      <c r="H57" s="29" t="s">
        <v>1819</v>
      </c>
      <c r="I57">
        <v>3</v>
      </c>
      <c r="J57" s="35">
        <f t="shared" ref="J57:J63" si="1">I57/I$51</f>
        <v>0.15</v>
      </c>
    </row>
    <row r="58" spans="1:10">
      <c r="A58" t="s">
        <v>1518</v>
      </c>
      <c r="C58">
        <v>8</v>
      </c>
      <c r="E58" s="29" t="s">
        <v>1518</v>
      </c>
      <c r="F58" s="35">
        <f t="shared" si="0"/>
        <v>0.11764705882352941</v>
      </c>
      <c r="H58" s="29" t="s">
        <v>1892</v>
      </c>
      <c r="I58">
        <v>0</v>
      </c>
      <c r="J58" s="35">
        <f t="shared" si="1"/>
        <v>0</v>
      </c>
    </row>
    <row r="59" spans="1:10">
      <c r="A59" t="s">
        <v>1519</v>
      </c>
      <c r="C59">
        <v>1</v>
      </c>
      <c r="E59" s="29" t="s">
        <v>1519</v>
      </c>
      <c r="F59" s="35">
        <f t="shared" si="0"/>
        <v>1.4705882352941176E-2</v>
      </c>
      <c r="H59" s="29" t="s">
        <v>1893</v>
      </c>
      <c r="I59">
        <v>3</v>
      </c>
      <c r="J59" s="35">
        <f t="shared" si="1"/>
        <v>0.15</v>
      </c>
    </row>
    <row r="60" spans="1:10">
      <c r="A60" t="s">
        <v>1520</v>
      </c>
      <c r="C60">
        <v>16</v>
      </c>
      <c r="E60" s="29" t="s">
        <v>1520</v>
      </c>
      <c r="F60" s="35">
        <f t="shared" si="0"/>
        <v>0.23529411764705882</v>
      </c>
      <c r="H60" s="29" t="s">
        <v>1894</v>
      </c>
      <c r="I60">
        <v>4</v>
      </c>
      <c r="J60" s="35">
        <f t="shared" si="1"/>
        <v>0.2</v>
      </c>
    </row>
    <row r="61" spans="1:10">
      <c r="A61" t="s">
        <v>1522</v>
      </c>
      <c r="C61">
        <v>0</v>
      </c>
      <c r="E61" s="29" t="s">
        <v>1522</v>
      </c>
      <c r="F61" s="35">
        <f t="shared" si="0"/>
        <v>0</v>
      </c>
      <c r="H61" s="29" t="s">
        <v>1895</v>
      </c>
      <c r="I61">
        <v>8</v>
      </c>
      <c r="J61" s="35">
        <f t="shared" si="1"/>
        <v>0.4</v>
      </c>
    </row>
    <row r="62" spans="1:10" ht="16" thickBot="1">
      <c r="A62" t="s">
        <v>1574</v>
      </c>
      <c r="C62">
        <v>7</v>
      </c>
      <c r="E62" s="31" t="s">
        <v>1574</v>
      </c>
      <c r="F62" s="36">
        <f t="shared" si="0"/>
        <v>0.10294117647058823</v>
      </c>
      <c r="H62" s="29" t="s">
        <v>1817</v>
      </c>
      <c r="I62">
        <v>0</v>
      </c>
      <c r="J62" s="35">
        <f t="shared" si="1"/>
        <v>0</v>
      </c>
    </row>
    <row r="63" spans="1:10" ht="16" thickBot="1">
      <c r="A63" t="s">
        <v>1523</v>
      </c>
      <c r="C63">
        <f>SUM(C54:C62)</f>
        <v>68</v>
      </c>
      <c r="H63" s="31" t="s">
        <v>1921</v>
      </c>
      <c r="I63" s="62">
        <v>1</v>
      </c>
      <c r="J63" s="36">
        <f t="shared" si="1"/>
        <v>0.05</v>
      </c>
    </row>
    <row r="64" spans="1:10">
      <c r="E64" s="27" t="s">
        <v>1549</v>
      </c>
      <c r="F64" s="28"/>
    </row>
    <row r="65" spans="1:10" ht="16" thickBot="1">
      <c r="A65" t="s">
        <v>1525</v>
      </c>
      <c r="E65" s="29" t="s">
        <v>1526</v>
      </c>
      <c r="F65" s="35">
        <f>C66/C$76</f>
        <v>0.20833333333333334</v>
      </c>
    </row>
    <row r="66" spans="1:10">
      <c r="A66" t="s">
        <v>1526</v>
      </c>
      <c r="C66">
        <v>15</v>
      </c>
      <c r="E66" s="29" t="s">
        <v>1527</v>
      </c>
      <c r="F66" s="35">
        <f t="shared" ref="F66:F74" si="2">C67/C$76</f>
        <v>0.19444444444444445</v>
      </c>
      <c r="H66" s="27" t="s">
        <v>1518</v>
      </c>
      <c r="I66" s="61">
        <v>8</v>
      </c>
      <c r="J66" s="47"/>
    </row>
    <row r="67" spans="1:10">
      <c r="A67" t="s">
        <v>1527</v>
      </c>
      <c r="C67">
        <v>14</v>
      </c>
      <c r="E67" s="29" t="s">
        <v>1528</v>
      </c>
      <c r="F67" s="35">
        <f t="shared" si="2"/>
        <v>0.20833333333333334</v>
      </c>
      <c r="H67" s="29" t="s">
        <v>1797</v>
      </c>
      <c r="I67">
        <v>2</v>
      </c>
      <c r="J67" s="35">
        <f>I67/I$66</f>
        <v>0.25</v>
      </c>
    </row>
    <row r="68" spans="1:10" ht="16" thickBot="1">
      <c r="A68" t="s">
        <v>1528</v>
      </c>
      <c r="C68">
        <v>15</v>
      </c>
      <c r="E68" s="29" t="s">
        <v>1529</v>
      </c>
      <c r="F68" s="35">
        <f t="shared" si="2"/>
        <v>0.27777777777777779</v>
      </c>
      <c r="H68" s="31" t="s">
        <v>1798</v>
      </c>
      <c r="I68" s="62">
        <v>6</v>
      </c>
      <c r="J68" s="36">
        <f>I68/I$66</f>
        <v>0.75</v>
      </c>
    </row>
    <row r="69" spans="1:10">
      <c r="A69" t="s">
        <v>1529</v>
      </c>
      <c r="C69">
        <v>20</v>
      </c>
      <c r="E69" s="29" t="s">
        <v>1530</v>
      </c>
      <c r="F69" s="35">
        <f t="shared" si="2"/>
        <v>1.3888888888888888E-2</v>
      </c>
    </row>
    <row r="70" spans="1:10" ht="16" thickBot="1">
      <c r="A70" t="s">
        <v>1530</v>
      </c>
      <c r="C70">
        <v>1</v>
      </c>
      <c r="E70" s="29" t="s">
        <v>1531</v>
      </c>
      <c r="F70" s="35">
        <f t="shared" si="2"/>
        <v>0</v>
      </c>
    </row>
    <row r="71" spans="1:10">
      <c r="A71" t="s">
        <v>1531</v>
      </c>
      <c r="C71">
        <v>0</v>
      </c>
      <c r="E71" s="29" t="s">
        <v>1532</v>
      </c>
      <c r="F71" s="35">
        <f t="shared" si="2"/>
        <v>0</v>
      </c>
      <c r="H71" s="27" t="s">
        <v>1805</v>
      </c>
      <c r="I71" s="61">
        <v>1</v>
      </c>
      <c r="J71" s="47"/>
    </row>
    <row r="72" spans="1:10">
      <c r="A72" t="s">
        <v>1532</v>
      </c>
      <c r="C72">
        <v>0</v>
      </c>
      <c r="E72" s="29" t="s">
        <v>1533</v>
      </c>
      <c r="F72" s="35">
        <f t="shared" si="2"/>
        <v>0</v>
      </c>
      <c r="H72" s="29" t="s">
        <v>1799</v>
      </c>
      <c r="I72">
        <v>0</v>
      </c>
      <c r="J72" s="35">
        <f t="shared" ref="J72:J77" si="3">I72/I$71</f>
        <v>0</v>
      </c>
    </row>
    <row r="73" spans="1:10">
      <c r="A73" t="s">
        <v>1533</v>
      </c>
      <c r="C73">
        <v>0</v>
      </c>
      <c r="E73" s="29" t="s">
        <v>1534</v>
      </c>
      <c r="F73" s="35">
        <f t="shared" si="2"/>
        <v>0</v>
      </c>
      <c r="H73" s="29" t="s">
        <v>1800</v>
      </c>
      <c r="I73">
        <v>1</v>
      </c>
      <c r="J73" s="35">
        <f t="shared" si="3"/>
        <v>1</v>
      </c>
    </row>
    <row r="74" spans="1:10" ht="16" thickBot="1">
      <c r="A74" t="s">
        <v>1534</v>
      </c>
      <c r="C74">
        <v>0</v>
      </c>
      <c r="E74" s="31" t="s">
        <v>1521</v>
      </c>
      <c r="F74" s="36">
        <f t="shared" si="2"/>
        <v>9.7222222222222224E-2</v>
      </c>
      <c r="H74" s="29" t="s">
        <v>1801</v>
      </c>
      <c r="I74">
        <v>0</v>
      </c>
      <c r="J74" s="35">
        <f t="shared" si="3"/>
        <v>0</v>
      </c>
    </row>
    <row r="75" spans="1:10" ht="16" thickBot="1">
      <c r="A75" t="s">
        <v>1521</v>
      </c>
      <c r="C75">
        <v>7</v>
      </c>
      <c r="H75" s="29" t="s">
        <v>1802</v>
      </c>
      <c r="I75">
        <v>0</v>
      </c>
      <c r="J75" s="35">
        <f t="shared" si="3"/>
        <v>0</v>
      </c>
    </row>
    <row r="76" spans="1:10">
      <c r="A76" t="s">
        <v>1536</v>
      </c>
      <c r="C76">
        <f>SUM(C66:C75)</f>
        <v>72</v>
      </c>
      <c r="E76" s="27" t="s">
        <v>1550</v>
      </c>
      <c r="F76" s="28"/>
      <c r="H76" s="29" t="s">
        <v>1803</v>
      </c>
      <c r="I76">
        <v>0</v>
      </c>
      <c r="J76" s="35">
        <f t="shared" si="3"/>
        <v>0</v>
      </c>
    </row>
    <row r="77" spans="1:10" ht="16" thickBot="1">
      <c r="E77" s="29" t="s">
        <v>1542</v>
      </c>
      <c r="F77" s="35">
        <f>C78/C$48</f>
        <v>0.625</v>
      </c>
      <c r="H77" s="31" t="s">
        <v>1804</v>
      </c>
      <c r="I77" s="62">
        <v>0</v>
      </c>
      <c r="J77" s="36">
        <f t="shared" si="3"/>
        <v>0</v>
      </c>
    </row>
    <row r="78" spans="1:10" ht="16" thickBot="1">
      <c r="A78" t="s">
        <v>1537</v>
      </c>
      <c r="C78">
        <v>25</v>
      </c>
      <c r="E78" s="29" t="s">
        <v>1543</v>
      </c>
      <c r="F78" s="35">
        <f>C79/C$48</f>
        <v>0.05</v>
      </c>
    </row>
    <row r="79" spans="1:10" ht="16" thickBot="1">
      <c r="A79" t="s">
        <v>1538</v>
      </c>
      <c r="C79">
        <v>2</v>
      </c>
      <c r="E79" s="31" t="s">
        <v>1544</v>
      </c>
      <c r="F79" s="36">
        <f>C80/C$48</f>
        <v>0.32500000000000001</v>
      </c>
      <c r="H79" s="27" t="s">
        <v>1806</v>
      </c>
      <c r="I79" s="61">
        <v>0</v>
      </c>
      <c r="J79" s="47"/>
    </row>
    <row r="80" spans="1:10" ht="16" thickBot="1">
      <c r="A80" t="s">
        <v>1539</v>
      </c>
      <c r="C80">
        <v>13</v>
      </c>
      <c r="F80" s="45"/>
      <c r="H80" s="29" t="s">
        <v>1799</v>
      </c>
      <c r="I80">
        <v>0</v>
      </c>
      <c r="J80" s="35" t="e">
        <f t="shared" ref="J80:J85" si="4">I80/I$79</f>
        <v>#DIV/0!</v>
      </c>
    </row>
    <row r="81" spans="1:10">
      <c r="E81" s="27" t="s">
        <v>1547</v>
      </c>
      <c r="F81" s="47"/>
      <c r="H81" s="29" t="s">
        <v>1800</v>
      </c>
      <c r="I81">
        <v>0</v>
      </c>
      <c r="J81" s="35" t="e">
        <f t="shared" si="4"/>
        <v>#DIV/0!</v>
      </c>
    </row>
    <row r="82" spans="1:10">
      <c r="A82" t="s">
        <v>1547</v>
      </c>
      <c r="E82" s="29" t="s">
        <v>1596</v>
      </c>
      <c r="F82" s="35">
        <f>C83/C$48</f>
        <v>0.85</v>
      </c>
      <c r="H82" s="29" t="s">
        <v>1801</v>
      </c>
      <c r="I82">
        <v>0</v>
      </c>
      <c r="J82" s="35" t="e">
        <f t="shared" si="4"/>
        <v>#DIV/0!</v>
      </c>
    </row>
    <row r="83" spans="1:10" ht="16" thickBot="1">
      <c r="A83" t="s">
        <v>1568</v>
      </c>
      <c r="C83">
        <v>34</v>
      </c>
      <c r="E83" s="31" t="s">
        <v>1457</v>
      </c>
      <c r="F83" s="36">
        <f>C84/C$48</f>
        <v>0.15</v>
      </c>
      <c r="H83" s="29" t="s">
        <v>1802</v>
      </c>
      <c r="I83">
        <v>0</v>
      </c>
      <c r="J83" s="35" t="e">
        <f t="shared" si="4"/>
        <v>#DIV/0!</v>
      </c>
    </row>
    <row r="84" spans="1:10" ht="16" thickBot="1">
      <c r="A84" t="s">
        <v>1457</v>
      </c>
      <c r="C84">
        <v>6</v>
      </c>
      <c r="F84" s="48"/>
      <c r="H84" s="29" t="s">
        <v>1803</v>
      </c>
      <c r="I84">
        <v>0</v>
      </c>
      <c r="J84" s="35" t="e">
        <f t="shared" si="4"/>
        <v>#DIV/0!</v>
      </c>
    </row>
    <row r="85" spans="1:10" ht="16" thickBot="1">
      <c r="E85" s="27" t="s">
        <v>2429</v>
      </c>
      <c r="F85" s="47"/>
      <c r="H85" s="31" t="s">
        <v>1804</v>
      </c>
      <c r="I85" s="62">
        <v>0</v>
      </c>
      <c r="J85" s="36" t="e">
        <f t="shared" si="4"/>
        <v>#DIV/0!</v>
      </c>
    </row>
    <row r="86" spans="1:10">
      <c r="A86" t="s">
        <v>2429</v>
      </c>
      <c r="E86" s="29" t="s">
        <v>2430</v>
      </c>
      <c r="F86" s="35">
        <f>C87/C$84</f>
        <v>1</v>
      </c>
    </row>
    <row r="87" spans="1:10" ht="16" thickBot="1">
      <c r="A87" t="s">
        <v>2430</v>
      </c>
      <c r="C87">
        <v>6</v>
      </c>
      <c r="E87" s="31" t="s">
        <v>2431</v>
      </c>
      <c r="F87" s="36">
        <f>C88/C$84</f>
        <v>0</v>
      </c>
    </row>
    <row r="88" spans="1:10" ht="16" thickBot="1">
      <c r="A88" t="s">
        <v>2431</v>
      </c>
      <c r="C88">
        <v>0</v>
      </c>
      <c r="F88" s="45"/>
      <c r="H88" s="27" t="s">
        <v>1520</v>
      </c>
      <c r="I88" s="61">
        <v>16</v>
      </c>
      <c r="J88" s="47"/>
    </row>
    <row r="89" spans="1:10">
      <c r="C89" t="s">
        <v>1486</v>
      </c>
      <c r="E89" s="27" t="s">
        <v>1597</v>
      </c>
      <c r="F89" s="47"/>
      <c r="H89" s="29" t="s">
        <v>1808</v>
      </c>
      <c r="I89">
        <v>2</v>
      </c>
      <c r="J89" s="35">
        <f>I89/I$88</f>
        <v>0.125</v>
      </c>
    </row>
    <row r="90" spans="1:10">
      <c r="A90" t="s">
        <v>1598</v>
      </c>
      <c r="E90" s="29" t="s">
        <v>1569</v>
      </c>
      <c r="F90" s="35">
        <f t="shared" ref="F90:F95" si="5">C91/C$48</f>
        <v>0.77500000000000002</v>
      </c>
      <c r="H90" s="29" t="s">
        <v>1809</v>
      </c>
      <c r="I90">
        <v>7</v>
      </c>
      <c r="J90" s="35">
        <f>I90/I$88</f>
        <v>0.4375</v>
      </c>
    </row>
    <row r="91" spans="1:10">
      <c r="A91" t="s">
        <v>1569</v>
      </c>
      <c r="C91">
        <v>31</v>
      </c>
      <c r="E91" s="29" t="s">
        <v>1571</v>
      </c>
      <c r="F91" s="35">
        <f t="shared" si="5"/>
        <v>2.5000000000000001E-2</v>
      </c>
      <c r="H91" s="29" t="s">
        <v>1810</v>
      </c>
      <c r="I91">
        <v>0</v>
      </c>
      <c r="J91" s="35">
        <f>I91/I$88</f>
        <v>0</v>
      </c>
    </row>
    <row r="92" spans="1:10" ht="16" thickBot="1">
      <c r="A92" t="s">
        <v>1571</v>
      </c>
      <c r="C92">
        <v>1</v>
      </c>
      <c r="E92" s="29" t="s">
        <v>1572</v>
      </c>
      <c r="F92" s="35">
        <f t="shared" si="5"/>
        <v>0</v>
      </c>
      <c r="H92" s="31" t="s">
        <v>1811</v>
      </c>
      <c r="I92" s="62">
        <v>7</v>
      </c>
      <c r="J92" s="36">
        <f>I92/I$88</f>
        <v>0.4375</v>
      </c>
    </row>
    <row r="93" spans="1:10">
      <c r="A93" t="s">
        <v>1572</v>
      </c>
      <c r="C93">
        <v>0</v>
      </c>
      <c r="E93" s="29" t="s">
        <v>1573</v>
      </c>
      <c r="F93" s="35">
        <f t="shared" si="5"/>
        <v>0</v>
      </c>
    </row>
    <row r="94" spans="1:10" ht="16" thickBot="1">
      <c r="A94" t="s">
        <v>1573</v>
      </c>
      <c r="C94">
        <v>0</v>
      </c>
      <c r="E94" s="29" t="s">
        <v>1570</v>
      </c>
      <c r="F94" s="35">
        <f t="shared" si="5"/>
        <v>0.15</v>
      </c>
    </row>
    <row r="95" spans="1:10" ht="16" thickBot="1">
      <c r="A95" t="s">
        <v>1570</v>
      </c>
      <c r="C95">
        <v>6</v>
      </c>
      <c r="E95" s="31" t="s">
        <v>1574</v>
      </c>
      <c r="F95" s="36">
        <f t="shared" si="5"/>
        <v>0.05</v>
      </c>
      <c r="H95" s="27" t="s">
        <v>1574</v>
      </c>
      <c r="I95" s="61">
        <v>7</v>
      </c>
      <c r="J95" s="47"/>
    </row>
    <row r="96" spans="1:10" ht="16" thickBot="1">
      <c r="A96" t="s">
        <v>1574</v>
      </c>
      <c r="C96">
        <v>2</v>
      </c>
      <c r="F96" s="45"/>
      <c r="H96" s="29" t="s">
        <v>1812</v>
      </c>
      <c r="I96">
        <v>2</v>
      </c>
      <c r="J96" s="35">
        <f>I96/I$95</f>
        <v>0.2857142857142857</v>
      </c>
    </row>
    <row r="97" spans="1:10">
      <c r="E97" s="27" t="s">
        <v>1551</v>
      </c>
      <c r="F97" s="47"/>
      <c r="H97" s="29" t="s">
        <v>1813</v>
      </c>
      <c r="I97">
        <v>0</v>
      </c>
      <c r="J97" s="35">
        <f t="shared" ref="J97:J102" si="6">I97/I$95</f>
        <v>0</v>
      </c>
    </row>
    <row r="98" spans="1:10">
      <c r="A98" t="s">
        <v>1540</v>
      </c>
      <c r="C98">
        <v>5</v>
      </c>
      <c r="E98" s="29" t="s">
        <v>1506</v>
      </c>
      <c r="F98" s="35">
        <f t="shared" ref="F98:F103" si="7">C99/C$48</f>
        <v>0.6</v>
      </c>
      <c r="H98" s="29" t="s">
        <v>1814</v>
      </c>
      <c r="I98">
        <v>1</v>
      </c>
      <c r="J98" s="35">
        <f t="shared" si="6"/>
        <v>0.14285714285714285</v>
      </c>
    </row>
    <row r="99" spans="1:10">
      <c r="A99" t="s">
        <v>1506</v>
      </c>
      <c r="C99">
        <v>24</v>
      </c>
      <c r="E99" s="29" t="s">
        <v>1503</v>
      </c>
      <c r="F99" s="35">
        <f t="shared" si="7"/>
        <v>0.2</v>
      </c>
      <c r="H99" s="29" t="s">
        <v>1716</v>
      </c>
      <c r="I99">
        <v>0</v>
      </c>
      <c r="J99" s="35">
        <f t="shared" si="6"/>
        <v>0</v>
      </c>
    </row>
    <row r="100" spans="1:10">
      <c r="A100" t="s">
        <v>1503</v>
      </c>
      <c r="C100">
        <v>8</v>
      </c>
      <c r="E100" s="29" t="s">
        <v>1502</v>
      </c>
      <c r="F100" s="35">
        <f t="shared" si="7"/>
        <v>0.125</v>
      </c>
      <c r="H100" s="29" t="s">
        <v>1815</v>
      </c>
      <c r="I100">
        <v>2</v>
      </c>
      <c r="J100" s="35">
        <f t="shared" si="6"/>
        <v>0.2857142857142857</v>
      </c>
    </row>
    <row r="101" spans="1:10">
      <c r="A101" t="s">
        <v>1502</v>
      </c>
      <c r="C101">
        <v>5</v>
      </c>
      <c r="E101" s="29" t="s">
        <v>1507</v>
      </c>
      <c r="F101" s="35">
        <f t="shared" si="7"/>
        <v>0.05</v>
      </c>
      <c r="H101" s="29" t="s">
        <v>1820</v>
      </c>
      <c r="I101">
        <v>1</v>
      </c>
      <c r="J101" s="35">
        <f t="shared" si="6"/>
        <v>0.14285714285714285</v>
      </c>
    </row>
    <row r="102" spans="1:10" ht="16" thickBot="1">
      <c r="A102" t="s">
        <v>1507</v>
      </c>
      <c r="C102">
        <v>2</v>
      </c>
      <c r="E102" s="29" t="s">
        <v>1505</v>
      </c>
      <c r="F102" s="35">
        <f t="shared" si="7"/>
        <v>2.5000000000000001E-2</v>
      </c>
      <c r="H102" s="31" t="s">
        <v>1922</v>
      </c>
      <c r="I102" s="62">
        <v>1</v>
      </c>
      <c r="J102" s="36">
        <f t="shared" si="6"/>
        <v>0.14285714285714285</v>
      </c>
    </row>
    <row r="103" spans="1:10" ht="16" thickBot="1">
      <c r="A103" t="s">
        <v>1505</v>
      </c>
      <c r="C103">
        <v>1</v>
      </c>
      <c r="E103" s="31" t="s">
        <v>1504</v>
      </c>
      <c r="F103" s="36">
        <f t="shared" si="7"/>
        <v>0</v>
      </c>
    </row>
    <row r="104" spans="1:10">
      <c r="A104" t="s">
        <v>1504</v>
      </c>
      <c r="C104">
        <v>0</v>
      </c>
    </row>
  </sheetData>
  <mergeCells count="1">
    <mergeCell ref="A44:F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0"/>
  <sheetViews>
    <sheetView topLeftCell="A35" workbookViewId="0">
      <selection activeCell="F92" sqref="F92:F93"/>
    </sheetView>
  </sheetViews>
  <sheetFormatPr baseColWidth="10" defaultRowHeight="15"/>
  <cols>
    <col min="2" max="2" width="33.6640625" customWidth="1"/>
    <col min="7" max="7" width="34.6640625" customWidth="1"/>
    <col min="8" max="8" width="11.5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44471</v>
      </c>
      <c r="B2" t="s">
        <v>1565</v>
      </c>
      <c r="C2" t="s">
        <v>1766</v>
      </c>
      <c r="D2" t="s">
        <v>18</v>
      </c>
      <c r="E2" t="s">
        <v>1509</v>
      </c>
      <c r="F2" s="8">
        <v>860</v>
      </c>
      <c r="G2" t="s">
        <v>732</v>
      </c>
      <c r="H2" t="s">
        <v>681</v>
      </c>
    </row>
    <row r="3" spans="1:8">
      <c r="A3" s="6">
        <v>44474</v>
      </c>
      <c r="B3" t="s">
        <v>1587</v>
      </c>
      <c r="C3" t="s">
        <v>1506</v>
      </c>
      <c r="D3" t="s">
        <v>18</v>
      </c>
      <c r="E3" t="s">
        <v>1509</v>
      </c>
      <c r="F3" s="8">
        <v>2523.6</v>
      </c>
      <c r="G3" t="s">
        <v>1590</v>
      </c>
      <c r="H3" t="s">
        <v>1605</v>
      </c>
    </row>
    <row r="4" spans="1:8">
      <c r="A4" s="6">
        <v>44474</v>
      </c>
      <c r="B4" t="s">
        <v>1591</v>
      </c>
      <c r="C4" t="s">
        <v>1506</v>
      </c>
      <c r="D4" t="s">
        <v>18</v>
      </c>
      <c r="E4" t="s">
        <v>1509</v>
      </c>
      <c r="F4" s="8">
        <v>1228.5</v>
      </c>
      <c r="G4" t="s">
        <v>1952</v>
      </c>
      <c r="H4" t="s">
        <v>1606</v>
      </c>
    </row>
    <row r="5" spans="1:8">
      <c r="A5" s="6">
        <v>44475</v>
      </c>
      <c r="B5" t="s">
        <v>1601</v>
      </c>
      <c r="C5" t="s">
        <v>1506</v>
      </c>
      <c r="D5" t="s">
        <v>18</v>
      </c>
      <c r="E5" t="s">
        <v>1509</v>
      </c>
      <c r="F5" s="8">
        <v>2264.8000000000002</v>
      </c>
      <c r="G5" t="s">
        <v>1604</v>
      </c>
      <c r="H5" t="s">
        <v>1276</v>
      </c>
    </row>
    <row r="6" spans="1:8">
      <c r="A6" s="6">
        <v>44476</v>
      </c>
      <c r="B6" t="s">
        <v>1767</v>
      </c>
      <c r="C6" t="s">
        <v>1506</v>
      </c>
      <c r="D6" t="s">
        <v>1455</v>
      </c>
      <c r="E6" t="s">
        <v>1509</v>
      </c>
      <c r="F6" s="8">
        <v>1404</v>
      </c>
      <c r="G6" t="s">
        <v>1951</v>
      </c>
      <c r="H6" t="s">
        <v>1570</v>
      </c>
    </row>
    <row r="7" spans="1:8">
      <c r="A7" s="6">
        <v>44476</v>
      </c>
      <c r="B7" t="s">
        <v>1614</v>
      </c>
      <c r="C7" t="s">
        <v>1506</v>
      </c>
      <c r="D7" t="s">
        <v>18</v>
      </c>
      <c r="E7" t="s">
        <v>1509</v>
      </c>
      <c r="F7" s="8">
        <v>2616.3000000000002</v>
      </c>
      <c r="G7" t="s">
        <v>1617</v>
      </c>
      <c r="H7" t="s">
        <v>1632</v>
      </c>
    </row>
    <row r="8" spans="1:8">
      <c r="A8" s="6">
        <v>44476</v>
      </c>
      <c r="B8" t="s">
        <v>1619</v>
      </c>
      <c r="C8" t="s">
        <v>1506</v>
      </c>
      <c r="D8" t="s">
        <v>18</v>
      </c>
      <c r="E8" t="s">
        <v>1509</v>
      </c>
      <c r="F8" s="8">
        <v>1478.2</v>
      </c>
      <c r="G8" t="s">
        <v>1622</v>
      </c>
      <c r="H8" t="s">
        <v>1643</v>
      </c>
    </row>
    <row r="9" spans="1:8">
      <c r="A9" s="6">
        <v>44477</v>
      </c>
      <c r="B9" t="s">
        <v>1591</v>
      </c>
      <c r="C9" t="s">
        <v>1506</v>
      </c>
      <c r="D9" t="s">
        <v>1455</v>
      </c>
      <c r="E9" t="s">
        <v>1509</v>
      </c>
      <c r="F9" s="8">
        <v>450</v>
      </c>
      <c r="G9" t="s">
        <v>1521</v>
      </c>
      <c r="H9" t="s">
        <v>1457</v>
      </c>
    </row>
    <row r="10" spans="1:8">
      <c r="A10" s="6">
        <v>44477</v>
      </c>
      <c r="B10" t="s">
        <v>26</v>
      </c>
      <c r="C10" t="s">
        <v>1503</v>
      </c>
      <c r="D10" t="s">
        <v>1455</v>
      </c>
      <c r="E10" t="s">
        <v>1509</v>
      </c>
      <c r="F10" s="8">
        <v>1483.2</v>
      </c>
      <c r="G10" t="s">
        <v>2407</v>
      </c>
      <c r="H10" t="s">
        <v>1455</v>
      </c>
    </row>
    <row r="11" spans="1:8">
      <c r="A11" s="6">
        <v>44473</v>
      </c>
      <c r="B11" t="s">
        <v>1628</v>
      </c>
      <c r="C11" t="s">
        <v>1506</v>
      </c>
      <c r="D11" t="s">
        <v>18</v>
      </c>
      <c r="E11" t="s">
        <v>1509</v>
      </c>
      <c r="F11" s="8">
        <v>952.35</v>
      </c>
      <c r="G11" t="s">
        <v>1631</v>
      </c>
      <c r="H11" t="s">
        <v>1644</v>
      </c>
    </row>
    <row r="12" spans="1:8">
      <c r="A12" s="6">
        <v>44480</v>
      </c>
      <c r="B12" t="s">
        <v>1634</v>
      </c>
      <c r="C12" t="s">
        <v>1506</v>
      </c>
      <c r="D12" t="s">
        <v>18</v>
      </c>
      <c r="E12" t="s">
        <v>1509</v>
      </c>
      <c r="F12" s="8">
        <v>1315</v>
      </c>
      <c r="G12" t="s">
        <v>1637</v>
      </c>
      <c r="H12" t="s">
        <v>281</v>
      </c>
    </row>
    <row r="13" spans="1:8">
      <c r="A13" s="6">
        <v>44480</v>
      </c>
      <c r="B13" t="s">
        <v>1639</v>
      </c>
      <c r="C13" t="s">
        <v>1503</v>
      </c>
      <c r="D13" t="s">
        <v>18</v>
      </c>
      <c r="E13" t="s">
        <v>1509</v>
      </c>
      <c r="F13" s="8">
        <v>994</v>
      </c>
      <c r="G13" t="s">
        <v>1642</v>
      </c>
      <c r="H13" t="s">
        <v>281</v>
      </c>
    </row>
    <row r="14" spans="1:8">
      <c r="A14" s="6">
        <v>44481</v>
      </c>
      <c r="B14" t="s">
        <v>1646</v>
      </c>
      <c r="C14" t="s">
        <v>1503</v>
      </c>
      <c r="D14" t="s">
        <v>18</v>
      </c>
      <c r="E14" t="s">
        <v>1509</v>
      </c>
      <c r="F14" s="8">
        <v>941.9</v>
      </c>
      <c r="G14" t="s">
        <v>1649</v>
      </c>
      <c r="H14" t="s">
        <v>1659</v>
      </c>
    </row>
    <row r="15" spans="1:8">
      <c r="A15" s="6">
        <v>44482</v>
      </c>
      <c r="B15" t="s">
        <v>1655</v>
      </c>
      <c r="C15" t="s">
        <v>1506</v>
      </c>
      <c r="D15" t="s">
        <v>18</v>
      </c>
      <c r="E15" t="s">
        <v>1509</v>
      </c>
      <c r="F15" s="8">
        <v>3561.3</v>
      </c>
      <c r="G15" t="s">
        <v>1954</v>
      </c>
      <c r="H15" t="s">
        <v>403</v>
      </c>
    </row>
    <row r="16" spans="1:8">
      <c r="A16" s="6">
        <v>44477</v>
      </c>
      <c r="B16" t="s">
        <v>1693</v>
      </c>
      <c r="C16" t="s">
        <v>1503</v>
      </c>
      <c r="D16" t="s">
        <v>18</v>
      </c>
      <c r="E16" t="s">
        <v>1509</v>
      </c>
      <c r="F16" s="8">
        <v>1972.2</v>
      </c>
      <c r="G16" t="s">
        <v>1669</v>
      </c>
      <c r="H16" t="s">
        <v>1689</v>
      </c>
    </row>
    <row r="17" spans="1:8">
      <c r="A17" s="6">
        <v>44478</v>
      </c>
      <c r="B17" t="s">
        <v>1671</v>
      </c>
      <c r="C17" t="s">
        <v>1766</v>
      </c>
      <c r="D17" t="s">
        <v>18</v>
      </c>
      <c r="E17" t="s">
        <v>1509</v>
      </c>
      <c r="F17" s="8">
        <v>1998.8</v>
      </c>
      <c r="G17" t="s">
        <v>1674</v>
      </c>
      <c r="H17" t="s">
        <v>1678</v>
      </c>
    </row>
    <row r="18" spans="1:8">
      <c r="A18" s="6">
        <v>44483</v>
      </c>
      <c r="B18" t="s">
        <v>2408</v>
      </c>
      <c r="C18" t="s">
        <v>1506</v>
      </c>
      <c r="D18" t="s">
        <v>1455</v>
      </c>
      <c r="E18" t="s">
        <v>1510</v>
      </c>
      <c r="F18" s="8">
        <v>3062</v>
      </c>
      <c r="G18" t="s">
        <v>2409</v>
      </c>
      <c r="H18" t="s">
        <v>1455</v>
      </c>
    </row>
    <row r="19" spans="1:8">
      <c r="A19" s="6">
        <v>44474</v>
      </c>
      <c r="B19" t="s">
        <v>2410</v>
      </c>
      <c r="C19" t="s">
        <v>1506</v>
      </c>
      <c r="D19" t="s">
        <v>1455</v>
      </c>
      <c r="E19" t="s">
        <v>1510</v>
      </c>
      <c r="F19" s="8">
        <v>2412.8000000000002</v>
      </c>
      <c r="G19" t="s">
        <v>524</v>
      </c>
      <c r="H19" t="s">
        <v>1457</v>
      </c>
    </row>
    <row r="20" spans="1:8">
      <c r="A20" s="6">
        <v>44484</v>
      </c>
      <c r="B20" t="s">
        <v>1684</v>
      </c>
      <c r="C20" t="s">
        <v>1506</v>
      </c>
      <c r="D20" t="s">
        <v>18</v>
      </c>
      <c r="E20" t="s">
        <v>1509</v>
      </c>
      <c r="F20" s="8">
        <v>973.75</v>
      </c>
      <c r="G20" t="s">
        <v>1687</v>
      </c>
      <c r="H20" t="s">
        <v>1688</v>
      </c>
    </row>
    <row r="21" spans="1:8">
      <c r="A21" s="6">
        <v>44485</v>
      </c>
      <c r="B21" t="s">
        <v>1691</v>
      </c>
      <c r="C21" t="s">
        <v>1506</v>
      </c>
      <c r="D21" t="s">
        <v>63</v>
      </c>
      <c r="E21" t="s">
        <v>1509</v>
      </c>
      <c r="F21" s="8">
        <v>2047.5</v>
      </c>
      <c r="G21" t="s">
        <v>1695</v>
      </c>
      <c r="H21" t="s">
        <v>1366</v>
      </c>
    </row>
    <row r="22" spans="1:8">
      <c r="A22" s="6">
        <v>44487</v>
      </c>
      <c r="B22" t="s">
        <v>1697</v>
      </c>
      <c r="C22" t="s">
        <v>1503</v>
      </c>
      <c r="D22" t="s">
        <v>18</v>
      </c>
      <c r="E22" t="s">
        <v>1509</v>
      </c>
      <c r="F22" s="8">
        <v>2007.92</v>
      </c>
      <c r="G22" t="s">
        <v>1700</v>
      </c>
      <c r="H22" t="s">
        <v>638</v>
      </c>
    </row>
    <row r="23" spans="1:8">
      <c r="A23" s="6">
        <v>44487</v>
      </c>
      <c r="B23" t="s">
        <v>744</v>
      </c>
      <c r="C23" t="s">
        <v>1507</v>
      </c>
      <c r="D23" t="s">
        <v>1455</v>
      </c>
      <c r="E23" t="s">
        <v>1509</v>
      </c>
      <c r="F23" s="8">
        <v>1520.95</v>
      </c>
      <c r="G23" t="s">
        <v>2411</v>
      </c>
      <c r="H23" t="s">
        <v>1457</v>
      </c>
    </row>
    <row r="24" spans="1:8">
      <c r="A24" s="6">
        <v>44488</v>
      </c>
      <c r="B24" t="s">
        <v>1704</v>
      </c>
      <c r="C24" t="s">
        <v>1507</v>
      </c>
      <c r="D24" t="s">
        <v>18</v>
      </c>
      <c r="E24" t="s">
        <v>1509</v>
      </c>
      <c r="F24" s="8">
        <v>1719.12</v>
      </c>
      <c r="G24" t="s">
        <v>1707</v>
      </c>
      <c r="H24" t="s">
        <v>1726</v>
      </c>
    </row>
    <row r="25" spans="1:8">
      <c r="A25" s="6">
        <v>44488</v>
      </c>
      <c r="B25" t="s">
        <v>1709</v>
      </c>
      <c r="C25" t="s">
        <v>1506</v>
      </c>
      <c r="D25" t="s">
        <v>18</v>
      </c>
      <c r="E25" t="s">
        <v>1509</v>
      </c>
      <c r="F25" s="8">
        <v>1151.4000000000001</v>
      </c>
      <c r="G25" t="s">
        <v>1712</v>
      </c>
      <c r="H25" t="s">
        <v>1713</v>
      </c>
    </row>
    <row r="26" spans="1:8">
      <c r="A26" s="6">
        <v>44489</v>
      </c>
      <c r="B26" t="s">
        <v>2412</v>
      </c>
      <c r="C26" t="s">
        <v>1506</v>
      </c>
      <c r="D26" t="s">
        <v>1455</v>
      </c>
      <c r="E26" t="s">
        <v>1509</v>
      </c>
      <c r="F26" s="8">
        <v>1577</v>
      </c>
      <c r="G26" t="s">
        <v>2413</v>
      </c>
      <c r="H26" t="s">
        <v>1457</v>
      </c>
    </row>
    <row r="27" spans="1:8">
      <c r="A27" s="6">
        <v>44489</v>
      </c>
      <c r="B27" t="s">
        <v>1728</v>
      </c>
      <c r="C27" t="s">
        <v>1503</v>
      </c>
      <c r="D27" t="s">
        <v>18</v>
      </c>
      <c r="E27" t="s">
        <v>1509</v>
      </c>
      <c r="F27" s="8">
        <v>1540.8</v>
      </c>
      <c r="G27" t="s">
        <v>1731</v>
      </c>
      <c r="H27" t="s">
        <v>1955</v>
      </c>
    </row>
    <row r="28" spans="1:8">
      <c r="A28" s="6">
        <v>44489</v>
      </c>
      <c r="B28" t="s">
        <v>1733</v>
      </c>
      <c r="C28" t="s">
        <v>1506</v>
      </c>
      <c r="D28" t="s">
        <v>18</v>
      </c>
      <c r="E28" t="s">
        <v>1509</v>
      </c>
      <c r="F28" s="8">
        <v>1111.5</v>
      </c>
      <c r="G28" t="s">
        <v>1953</v>
      </c>
      <c r="H28" t="s">
        <v>1956</v>
      </c>
    </row>
    <row r="29" spans="1:8">
      <c r="A29" s="6">
        <v>44491</v>
      </c>
      <c r="B29" t="s">
        <v>1779</v>
      </c>
      <c r="C29" t="s">
        <v>1766</v>
      </c>
      <c r="D29" t="s">
        <v>18</v>
      </c>
      <c r="E29" t="s">
        <v>1509</v>
      </c>
      <c r="F29" s="8">
        <v>1315.75</v>
      </c>
      <c r="G29" t="s">
        <v>1781</v>
      </c>
      <c r="H29" t="s">
        <v>1782</v>
      </c>
    </row>
    <row r="30" spans="1:8">
      <c r="A30" s="6">
        <v>44492</v>
      </c>
      <c r="B30" t="s">
        <v>1786</v>
      </c>
      <c r="C30" t="s">
        <v>1503</v>
      </c>
      <c r="D30" t="s">
        <v>18</v>
      </c>
      <c r="E30" t="s">
        <v>1509</v>
      </c>
      <c r="F30" s="8">
        <v>1998</v>
      </c>
      <c r="G30" t="s">
        <v>1789</v>
      </c>
      <c r="H30" t="s">
        <v>391</v>
      </c>
    </row>
    <row r="31" spans="1:8">
      <c r="A31" s="6">
        <v>44493</v>
      </c>
      <c r="B31" t="s">
        <v>1791</v>
      </c>
      <c r="C31" t="s">
        <v>1506</v>
      </c>
      <c r="D31" t="s">
        <v>18</v>
      </c>
      <c r="E31" t="s">
        <v>1510</v>
      </c>
      <c r="F31" s="8">
        <v>1310</v>
      </c>
      <c r="G31" t="s">
        <v>1959</v>
      </c>
      <c r="H31" t="s">
        <v>1795</v>
      </c>
    </row>
    <row r="32" spans="1:8">
      <c r="A32" s="6">
        <v>44494</v>
      </c>
      <c r="B32" t="s">
        <v>1822</v>
      </c>
      <c r="C32" t="s">
        <v>1503</v>
      </c>
      <c r="D32" t="s">
        <v>18</v>
      </c>
      <c r="E32" t="s">
        <v>1509</v>
      </c>
      <c r="F32" s="8">
        <v>1003.5</v>
      </c>
      <c r="G32" t="s">
        <v>1825</v>
      </c>
      <c r="H32" t="s">
        <v>1826</v>
      </c>
    </row>
    <row r="33" spans="1:10">
      <c r="A33" s="6">
        <v>44495</v>
      </c>
      <c r="B33" t="s">
        <v>1830</v>
      </c>
      <c r="C33" t="s">
        <v>1503</v>
      </c>
      <c r="D33" t="s">
        <v>18</v>
      </c>
      <c r="E33" t="s">
        <v>1509</v>
      </c>
      <c r="F33" s="52">
        <v>1128</v>
      </c>
      <c r="G33" t="s">
        <v>1832</v>
      </c>
      <c r="H33" t="s">
        <v>1833</v>
      </c>
    </row>
    <row r="34" spans="1:10">
      <c r="A34" s="6">
        <v>44496</v>
      </c>
      <c r="B34" t="s">
        <v>1839</v>
      </c>
      <c r="C34" t="s">
        <v>1506</v>
      </c>
      <c r="D34" t="s">
        <v>18</v>
      </c>
      <c r="E34" t="s">
        <v>1509</v>
      </c>
      <c r="F34" s="8">
        <v>1075.32</v>
      </c>
      <c r="G34" t="s">
        <v>1382</v>
      </c>
      <c r="H34" t="s">
        <v>1869</v>
      </c>
    </row>
    <row r="35" spans="1:10">
      <c r="A35" s="6">
        <v>44496</v>
      </c>
      <c r="B35" t="s">
        <v>1844</v>
      </c>
      <c r="C35" t="s">
        <v>1506</v>
      </c>
      <c r="D35" t="s">
        <v>18</v>
      </c>
      <c r="E35" t="s">
        <v>1509</v>
      </c>
      <c r="F35" s="8">
        <v>1615.92</v>
      </c>
      <c r="G35" t="s">
        <v>1846</v>
      </c>
      <c r="H35" t="s">
        <v>681</v>
      </c>
    </row>
    <row r="36" spans="1:10">
      <c r="A36" s="6">
        <v>44496</v>
      </c>
      <c r="B36" t="s">
        <v>1848</v>
      </c>
      <c r="C36" t="s">
        <v>1506</v>
      </c>
      <c r="D36" t="s">
        <v>18</v>
      </c>
      <c r="E36" t="s">
        <v>1509</v>
      </c>
      <c r="F36" s="8">
        <v>1752.3</v>
      </c>
      <c r="G36" t="s">
        <v>1851</v>
      </c>
      <c r="H36" t="s">
        <v>1678</v>
      </c>
    </row>
    <row r="37" spans="1:10">
      <c r="A37" s="6">
        <v>44496</v>
      </c>
      <c r="B37" t="s">
        <v>1853</v>
      </c>
      <c r="C37" t="s">
        <v>1506</v>
      </c>
      <c r="D37" t="s">
        <v>18</v>
      </c>
      <c r="E37" t="s">
        <v>1509</v>
      </c>
      <c r="F37" s="8">
        <v>436</v>
      </c>
      <c r="G37" t="s">
        <v>1856</v>
      </c>
      <c r="H37" t="s">
        <v>1870</v>
      </c>
    </row>
    <row r="38" spans="1:10">
      <c r="A38" s="6">
        <v>44497</v>
      </c>
      <c r="B38" t="s">
        <v>1957</v>
      </c>
      <c r="C38" t="s">
        <v>1506</v>
      </c>
      <c r="D38" t="s">
        <v>18</v>
      </c>
      <c r="E38" t="s">
        <v>1509</v>
      </c>
      <c r="F38" s="8">
        <v>2747.22</v>
      </c>
      <c r="G38" t="s">
        <v>1867</v>
      </c>
      <c r="H38" t="s">
        <v>747</v>
      </c>
    </row>
    <row r="39" spans="1:10">
      <c r="A39" s="6">
        <v>44498</v>
      </c>
      <c r="B39" t="s">
        <v>1875</v>
      </c>
      <c r="C39" t="s">
        <v>1505</v>
      </c>
      <c r="D39" t="s">
        <v>18</v>
      </c>
      <c r="E39" t="s">
        <v>1509</v>
      </c>
      <c r="F39" s="8">
        <v>2341.8000000000002</v>
      </c>
      <c r="G39" t="s">
        <v>1878</v>
      </c>
      <c r="H39" t="s">
        <v>1890</v>
      </c>
    </row>
    <row r="40" spans="1:10">
      <c r="A40" s="6">
        <v>44498</v>
      </c>
      <c r="B40" t="s">
        <v>1881</v>
      </c>
      <c r="C40" t="s">
        <v>1506</v>
      </c>
      <c r="D40" t="s">
        <v>18</v>
      </c>
      <c r="E40" t="s">
        <v>1509</v>
      </c>
      <c r="F40" s="8">
        <v>819</v>
      </c>
      <c r="G40" t="s">
        <v>524</v>
      </c>
      <c r="H40" t="s">
        <v>681</v>
      </c>
    </row>
    <row r="41" spans="1:10">
      <c r="A41" s="6">
        <v>44499</v>
      </c>
      <c r="B41" t="s">
        <v>1885</v>
      </c>
      <c r="C41" t="s">
        <v>1503</v>
      </c>
      <c r="D41" t="s">
        <v>18</v>
      </c>
      <c r="E41" t="s">
        <v>1510</v>
      </c>
      <c r="F41" s="8">
        <v>2775.18</v>
      </c>
      <c r="G41" t="s">
        <v>1888</v>
      </c>
      <c r="H41" t="s">
        <v>1889</v>
      </c>
    </row>
    <row r="42" spans="1:10">
      <c r="A42" s="6">
        <v>44491</v>
      </c>
      <c r="B42" t="s">
        <v>1902</v>
      </c>
      <c r="C42" t="s">
        <v>1506</v>
      </c>
      <c r="D42" t="s">
        <v>63</v>
      </c>
      <c r="E42" t="s">
        <v>1509</v>
      </c>
      <c r="F42" s="8">
        <v>1776.5</v>
      </c>
      <c r="G42" t="s">
        <v>1905</v>
      </c>
      <c r="H42" t="s">
        <v>403</v>
      </c>
    </row>
    <row r="43" spans="1:10">
      <c r="A43" s="6">
        <v>44490</v>
      </c>
      <c r="B43" t="s">
        <v>1924</v>
      </c>
      <c r="C43" t="s">
        <v>1506</v>
      </c>
      <c r="D43" t="s">
        <v>18</v>
      </c>
      <c r="E43" t="s">
        <v>1509</v>
      </c>
      <c r="F43" s="8">
        <v>5520.5</v>
      </c>
      <c r="G43" t="s">
        <v>1927</v>
      </c>
      <c r="H43" t="s">
        <v>1958</v>
      </c>
    </row>
    <row r="44" spans="1:10">
      <c r="A44" s="6">
        <v>44494</v>
      </c>
      <c r="B44" t="s">
        <v>1931</v>
      </c>
      <c r="C44" t="s">
        <v>1506</v>
      </c>
      <c r="D44" t="s">
        <v>18</v>
      </c>
      <c r="E44" t="s">
        <v>1510</v>
      </c>
      <c r="F44" s="8">
        <v>2307.0700000000002</v>
      </c>
      <c r="G44" t="s">
        <v>1933</v>
      </c>
      <c r="H44" t="s">
        <v>1934</v>
      </c>
    </row>
    <row r="45" spans="1:10">
      <c r="A45" s="6">
        <v>44491</v>
      </c>
      <c r="B45" t="s">
        <v>296</v>
      </c>
      <c r="C45" t="s">
        <v>1503</v>
      </c>
      <c r="D45" t="s">
        <v>1455</v>
      </c>
      <c r="E45" t="s">
        <v>1509</v>
      </c>
      <c r="F45" s="52">
        <v>1721</v>
      </c>
      <c r="G45" t="s">
        <v>1949</v>
      </c>
      <c r="H45" t="s">
        <v>1950</v>
      </c>
    </row>
    <row r="46" spans="1:10" s="41" customFormat="1">
      <c r="A46" s="91">
        <v>44497</v>
      </c>
      <c r="B46" s="41" t="s">
        <v>1693</v>
      </c>
      <c r="C46" s="41" t="s">
        <v>1503</v>
      </c>
      <c r="D46" s="41" t="s">
        <v>1455</v>
      </c>
      <c r="E46" s="41" t="s">
        <v>1509</v>
      </c>
      <c r="F46" s="92">
        <v>1649.55</v>
      </c>
      <c r="G46" s="41" t="s">
        <v>2414</v>
      </c>
      <c r="H46" s="41" t="s">
        <v>1457</v>
      </c>
      <c r="J46" s="93"/>
    </row>
    <row r="47" spans="1:10">
      <c r="A47" s="91">
        <v>44495</v>
      </c>
      <c r="B47" s="41" t="s">
        <v>2262</v>
      </c>
      <c r="C47" s="41" t="s">
        <v>1506</v>
      </c>
      <c r="D47" s="41" t="s">
        <v>18</v>
      </c>
      <c r="E47" s="41" t="s">
        <v>1509</v>
      </c>
      <c r="F47" s="92">
        <v>1399.49</v>
      </c>
      <c r="G47" s="41" t="s">
        <v>2263</v>
      </c>
      <c r="H47" s="41" t="s">
        <v>1782</v>
      </c>
      <c r="I47" s="41"/>
      <c r="J47" s="93"/>
    </row>
    <row r="48" spans="1:10">
      <c r="C48" t="s">
        <v>1486</v>
      </c>
    </row>
    <row r="50" spans="1:10" ht="16" thickBot="1">
      <c r="A50" s="106" t="s">
        <v>1541</v>
      </c>
      <c r="B50" s="106"/>
      <c r="C50" s="106"/>
      <c r="D50" s="106"/>
      <c r="E50" s="106"/>
      <c r="F50" s="106"/>
    </row>
    <row r="51" spans="1:10">
      <c r="A51" t="s">
        <v>1513</v>
      </c>
      <c r="C51" s="8">
        <f>SUM(F2:F47)</f>
        <v>79860.99000000002</v>
      </c>
      <c r="E51" s="27" t="s">
        <v>1546</v>
      </c>
      <c r="F51" s="28"/>
      <c r="H51" s="27" t="s">
        <v>1515</v>
      </c>
      <c r="I51" s="61">
        <v>21</v>
      </c>
      <c r="J51" s="47"/>
    </row>
    <row r="52" spans="1:10">
      <c r="E52" s="29" t="s">
        <v>1552</v>
      </c>
      <c r="F52" s="50">
        <v>79860.99000000002</v>
      </c>
      <c r="H52" s="29" t="s">
        <v>1768</v>
      </c>
      <c r="I52">
        <v>7</v>
      </c>
      <c r="J52" s="35">
        <f>I52/I$51</f>
        <v>0.33333333333333331</v>
      </c>
    </row>
    <row r="53" spans="1:10" ht="16" thickBot="1">
      <c r="A53" t="s">
        <v>1545</v>
      </c>
      <c r="C53">
        <v>26</v>
      </c>
      <c r="E53" s="31" t="s">
        <v>1553</v>
      </c>
      <c r="F53" s="51">
        <f>C51/C53</f>
        <v>3071.5765384615393</v>
      </c>
      <c r="H53" s="29" t="s">
        <v>1769</v>
      </c>
      <c r="I53">
        <v>13</v>
      </c>
      <c r="J53" s="35">
        <f>I53/I$51</f>
        <v>0.61904761904761907</v>
      </c>
    </row>
    <row r="54" spans="1:10" ht="16" thickBot="1">
      <c r="A54" t="s">
        <v>1535</v>
      </c>
      <c r="C54">
        <v>46</v>
      </c>
      <c r="G54" t="s">
        <v>1486</v>
      </c>
      <c r="H54" s="31" t="s">
        <v>1770</v>
      </c>
      <c r="I54" s="62">
        <v>1</v>
      </c>
      <c r="J54" s="36">
        <f>I54/I$51</f>
        <v>4.7619047619047616E-2</v>
      </c>
    </row>
    <row r="55" spans="1:10">
      <c r="D55" t="s">
        <v>1486</v>
      </c>
      <c r="E55" s="27" t="s">
        <v>1547</v>
      </c>
      <c r="F55" s="28"/>
    </row>
    <row r="56" spans="1:10" ht="16" thickBot="1">
      <c r="A56" t="s">
        <v>1511</v>
      </c>
      <c r="C56">
        <v>41</v>
      </c>
      <c r="D56" t="s">
        <v>1486</v>
      </c>
      <c r="E56" s="29" t="s">
        <v>1509</v>
      </c>
      <c r="F56" s="35">
        <f>C56/C$54</f>
        <v>0.89130434782608692</v>
      </c>
      <c r="G56" t="s">
        <v>1486</v>
      </c>
    </row>
    <row r="57" spans="1:10" ht="16" thickBot="1">
      <c r="A57" t="s">
        <v>1512</v>
      </c>
      <c r="C57">
        <v>5</v>
      </c>
      <c r="E57" s="31" t="s">
        <v>1510</v>
      </c>
      <c r="F57" s="36">
        <f>C57/C$54</f>
        <v>0.10869565217391304</v>
      </c>
      <c r="H57" s="27" t="s">
        <v>1807</v>
      </c>
      <c r="I57" s="61">
        <v>28</v>
      </c>
      <c r="J57" s="47"/>
    </row>
    <row r="58" spans="1:10" ht="16" thickBot="1">
      <c r="H58" s="29" t="s">
        <v>1771</v>
      </c>
      <c r="I58">
        <v>19</v>
      </c>
      <c r="J58" s="35">
        <f>I58/I$57</f>
        <v>0.6785714285714286</v>
      </c>
    </row>
    <row r="59" spans="1:10">
      <c r="A59" t="s">
        <v>1524</v>
      </c>
      <c r="E59" s="27" t="s">
        <v>1548</v>
      </c>
      <c r="F59" s="28"/>
      <c r="H59" s="29" t="s">
        <v>1772</v>
      </c>
      <c r="I59">
        <v>7</v>
      </c>
      <c r="J59" s="35">
        <f>I59/I$57</f>
        <v>0.25</v>
      </c>
    </row>
    <row r="60" spans="1:10">
      <c r="A60" t="s">
        <v>1514</v>
      </c>
      <c r="C60">
        <v>4</v>
      </c>
      <c r="E60" s="29" t="s">
        <v>1514</v>
      </c>
      <c r="F60" s="35">
        <f>C60/C$69</f>
        <v>4.1237113402061855E-2</v>
      </c>
      <c r="H60" s="29" t="s">
        <v>1773</v>
      </c>
      <c r="I60">
        <v>2</v>
      </c>
      <c r="J60" s="35">
        <f>I60/I$57</f>
        <v>7.1428571428571425E-2</v>
      </c>
    </row>
    <row r="61" spans="1:10">
      <c r="A61" t="s">
        <v>1515</v>
      </c>
      <c r="C61">
        <v>21</v>
      </c>
      <c r="E61" s="29" t="s">
        <v>1515</v>
      </c>
      <c r="F61" s="35">
        <f t="shared" ref="F61:F68" si="0">C61/C$69</f>
        <v>0.21649484536082475</v>
      </c>
      <c r="G61" t="s">
        <v>1486</v>
      </c>
      <c r="H61" s="29"/>
      <c r="J61" s="35"/>
    </row>
    <row r="62" spans="1:10">
      <c r="A62" t="s">
        <v>1516</v>
      </c>
      <c r="C62">
        <v>28</v>
      </c>
      <c r="E62" s="29" t="s">
        <v>1516</v>
      </c>
      <c r="F62" s="35">
        <f t="shared" si="0"/>
        <v>0.28865979381443296</v>
      </c>
      <c r="G62" t="s">
        <v>1486</v>
      </c>
      <c r="H62" s="29" t="s">
        <v>1818</v>
      </c>
      <c r="I62">
        <v>3</v>
      </c>
      <c r="J62" s="35">
        <f t="shared" ref="J62:J69" si="1">I62/I$57</f>
        <v>0.10714285714285714</v>
      </c>
    </row>
    <row r="63" spans="1:10">
      <c r="A63" t="s">
        <v>1517</v>
      </c>
      <c r="C63">
        <v>1</v>
      </c>
      <c r="E63" s="29" t="s">
        <v>1517</v>
      </c>
      <c r="F63" s="35">
        <f t="shared" si="0"/>
        <v>1.0309278350515464E-2</v>
      </c>
      <c r="H63" s="29" t="s">
        <v>1819</v>
      </c>
      <c r="I63">
        <v>2</v>
      </c>
      <c r="J63" s="35">
        <f t="shared" si="1"/>
        <v>7.1428571428571425E-2</v>
      </c>
    </row>
    <row r="64" spans="1:10">
      <c r="A64" t="s">
        <v>1518</v>
      </c>
      <c r="C64">
        <v>12</v>
      </c>
      <c r="E64" s="29" t="s">
        <v>1518</v>
      </c>
      <c r="F64" s="35">
        <f t="shared" si="0"/>
        <v>0.12371134020618557</v>
      </c>
      <c r="H64" s="29" t="s">
        <v>1892</v>
      </c>
      <c r="I64">
        <v>3</v>
      </c>
      <c r="J64" s="35">
        <f t="shared" si="1"/>
        <v>0.10714285714285714</v>
      </c>
    </row>
    <row r="65" spans="1:10">
      <c r="A65" t="s">
        <v>1519</v>
      </c>
      <c r="C65">
        <v>1</v>
      </c>
      <c r="E65" s="29" t="s">
        <v>1519</v>
      </c>
      <c r="F65" s="35">
        <f t="shared" si="0"/>
        <v>1.0309278350515464E-2</v>
      </c>
      <c r="H65" s="29" t="s">
        <v>1893</v>
      </c>
      <c r="I65">
        <v>3</v>
      </c>
      <c r="J65" s="35">
        <f t="shared" si="1"/>
        <v>0.10714285714285714</v>
      </c>
    </row>
    <row r="66" spans="1:10">
      <c r="A66" t="s">
        <v>1520</v>
      </c>
      <c r="C66">
        <v>14</v>
      </c>
      <c r="E66" s="29" t="s">
        <v>1520</v>
      </c>
      <c r="F66" s="35">
        <f t="shared" si="0"/>
        <v>0.14432989690721648</v>
      </c>
      <c r="H66" s="29" t="s">
        <v>1894</v>
      </c>
      <c r="I66">
        <v>8</v>
      </c>
      <c r="J66" s="35">
        <f t="shared" si="1"/>
        <v>0.2857142857142857</v>
      </c>
    </row>
    <row r="67" spans="1:10">
      <c r="A67" t="s">
        <v>1522</v>
      </c>
      <c r="C67">
        <v>1</v>
      </c>
      <c r="E67" s="29" t="s">
        <v>1522</v>
      </c>
      <c r="F67" s="35">
        <f t="shared" si="0"/>
        <v>1.0309278350515464E-2</v>
      </c>
      <c r="H67" s="29" t="s">
        <v>1895</v>
      </c>
      <c r="I67">
        <v>7</v>
      </c>
      <c r="J67" s="35">
        <f t="shared" si="1"/>
        <v>0.25</v>
      </c>
    </row>
    <row r="68" spans="1:10" ht="16" thickBot="1">
      <c r="A68" t="s">
        <v>1574</v>
      </c>
      <c r="C68">
        <v>15</v>
      </c>
      <c r="E68" s="31" t="s">
        <v>1574</v>
      </c>
      <c r="F68" s="36">
        <f t="shared" si="0"/>
        <v>0.15463917525773196</v>
      </c>
      <c r="H68" s="29" t="s">
        <v>1817</v>
      </c>
      <c r="I68">
        <v>0</v>
      </c>
      <c r="J68" s="35">
        <f t="shared" si="1"/>
        <v>0</v>
      </c>
    </row>
    <row r="69" spans="1:10" ht="16" thickBot="1">
      <c r="A69" t="s">
        <v>1523</v>
      </c>
      <c r="C69">
        <f>SUM(C60:C68)</f>
        <v>97</v>
      </c>
      <c r="H69" s="31" t="s">
        <v>1861</v>
      </c>
      <c r="I69" s="62">
        <v>2</v>
      </c>
      <c r="J69" s="36">
        <f t="shared" si="1"/>
        <v>7.1428571428571425E-2</v>
      </c>
    </row>
    <row r="70" spans="1:10">
      <c r="E70" s="27" t="s">
        <v>1549</v>
      </c>
      <c r="F70" s="28"/>
    </row>
    <row r="71" spans="1:10" ht="16" thickBot="1">
      <c r="A71" t="s">
        <v>1525</v>
      </c>
      <c r="E71" s="29" t="s">
        <v>1526</v>
      </c>
      <c r="F71" s="35">
        <f>C72/C$82</f>
        <v>0.47706422018348627</v>
      </c>
    </row>
    <row r="72" spans="1:10">
      <c r="A72" t="s">
        <v>1526</v>
      </c>
      <c r="C72">
        <v>52</v>
      </c>
      <c r="E72" s="29" t="s">
        <v>1527</v>
      </c>
      <c r="F72" s="35">
        <f t="shared" ref="F72:F80" si="2">C73/C$82</f>
        <v>8.2568807339449546E-2</v>
      </c>
      <c r="G72" t="s">
        <v>1486</v>
      </c>
      <c r="H72" s="27" t="s">
        <v>1518</v>
      </c>
      <c r="I72" s="61">
        <v>12</v>
      </c>
      <c r="J72" s="47"/>
    </row>
    <row r="73" spans="1:10">
      <c r="A73" t="s">
        <v>1527</v>
      </c>
      <c r="C73">
        <v>9</v>
      </c>
      <c r="E73" s="29" t="s">
        <v>1528</v>
      </c>
      <c r="F73" s="35">
        <f t="shared" si="2"/>
        <v>0.12844036697247707</v>
      </c>
      <c r="H73" s="29" t="s">
        <v>1797</v>
      </c>
      <c r="I73">
        <v>2</v>
      </c>
      <c r="J73" s="35">
        <f>I73/I$72</f>
        <v>0.16666666666666666</v>
      </c>
    </row>
    <row r="74" spans="1:10" ht="16" thickBot="1">
      <c r="A74" t="s">
        <v>1528</v>
      </c>
      <c r="C74">
        <v>14</v>
      </c>
      <c r="E74" s="29" t="s">
        <v>1529</v>
      </c>
      <c r="F74" s="35">
        <f t="shared" si="2"/>
        <v>0.12844036697247707</v>
      </c>
      <c r="H74" s="31" t="s">
        <v>1798</v>
      </c>
      <c r="I74" s="62">
        <v>10</v>
      </c>
      <c r="J74" s="36">
        <f>I74/I$72</f>
        <v>0.83333333333333337</v>
      </c>
    </row>
    <row r="75" spans="1:10">
      <c r="A75" t="s">
        <v>1529</v>
      </c>
      <c r="C75">
        <v>14</v>
      </c>
      <c r="E75" s="29" t="s">
        <v>1530</v>
      </c>
      <c r="F75" s="35">
        <f t="shared" si="2"/>
        <v>6.4220183486238536E-2</v>
      </c>
    </row>
    <row r="76" spans="1:10" ht="16" thickBot="1">
      <c r="A76" t="s">
        <v>1530</v>
      </c>
      <c r="C76">
        <v>7</v>
      </c>
      <c r="E76" s="29" t="s">
        <v>1531</v>
      </c>
      <c r="F76" s="35">
        <f t="shared" si="2"/>
        <v>0</v>
      </c>
    </row>
    <row r="77" spans="1:10">
      <c r="A77" t="s">
        <v>1531</v>
      </c>
      <c r="C77">
        <v>0</v>
      </c>
      <c r="E77" s="29" t="s">
        <v>1532</v>
      </c>
      <c r="F77" s="35">
        <f t="shared" si="2"/>
        <v>0</v>
      </c>
      <c r="H77" s="27" t="s">
        <v>1805</v>
      </c>
      <c r="I77" s="61">
        <v>1</v>
      </c>
      <c r="J77" s="47"/>
    </row>
    <row r="78" spans="1:10">
      <c r="A78" t="s">
        <v>1532</v>
      </c>
      <c r="C78">
        <v>0</v>
      </c>
      <c r="E78" s="29" t="s">
        <v>1533</v>
      </c>
      <c r="F78" s="35">
        <f t="shared" si="2"/>
        <v>0</v>
      </c>
      <c r="H78" s="29" t="s">
        <v>1799</v>
      </c>
      <c r="I78">
        <v>0</v>
      </c>
      <c r="J78" s="35">
        <f t="shared" ref="J78:J83" si="3">I78/I$77</f>
        <v>0</v>
      </c>
    </row>
    <row r="79" spans="1:10">
      <c r="A79" t="s">
        <v>1533</v>
      </c>
      <c r="C79">
        <v>0</v>
      </c>
      <c r="E79" s="29" t="s">
        <v>1534</v>
      </c>
      <c r="F79" s="35">
        <f t="shared" si="2"/>
        <v>9.1743119266055051E-3</v>
      </c>
      <c r="H79" s="29" t="s">
        <v>1800</v>
      </c>
      <c r="I79">
        <v>0</v>
      </c>
      <c r="J79" s="35">
        <f t="shared" si="3"/>
        <v>0</v>
      </c>
    </row>
    <row r="80" spans="1:10" ht="16" thickBot="1">
      <c r="A80" t="s">
        <v>1534</v>
      </c>
      <c r="C80">
        <v>1</v>
      </c>
      <c r="E80" s="31" t="s">
        <v>1521</v>
      </c>
      <c r="F80" s="36">
        <f t="shared" si="2"/>
        <v>0.11009174311926606</v>
      </c>
      <c r="H80" s="29" t="s">
        <v>1801</v>
      </c>
      <c r="I80">
        <v>0</v>
      </c>
      <c r="J80" s="35">
        <f t="shared" si="3"/>
        <v>0</v>
      </c>
    </row>
    <row r="81" spans="1:10" ht="16" thickBot="1">
      <c r="A81" t="s">
        <v>1521</v>
      </c>
      <c r="C81">
        <v>12</v>
      </c>
      <c r="H81" s="29" t="s">
        <v>1802</v>
      </c>
      <c r="I81">
        <v>1</v>
      </c>
      <c r="J81" s="35">
        <f t="shared" si="3"/>
        <v>1</v>
      </c>
    </row>
    <row r="82" spans="1:10">
      <c r="A82" t="s">
        <v>1536</v>
      </c>
      <c r="C82">
        <f>SUM(C72:C81)</f>
        <v>109</v>
      </c>
      <c r="E82" s="27" t="s">
        <v>1550</v>
      </c>
      <c r="F82" s="28"/>
      <c r="H82" s="29" t="s">
        <v>1803</v>
      </c>
      <c r="I82">
        <v>0</v>
      </c>
      <c r="J82" s="35">
        <f t="shared" si="3"/>
        <v>0</v>
      </c>
    </row>
    <row r="83" spans="1:10" ht="16" thickBot="1">
      <c r="E83" s="29" t="s">
        <v>1542</v>
      </c>
      <c r="F83" s="35">
        <f>C84/C$54</f>
        <v>0.73913043478260865</v>
      </c>
      <c r="H83" s="31" t="s">
        <v>1804</v>
      </c>
      <c r="I83" s="62">
        <v>0</v>
      </c>
      <c r="J83" s="36">
        <f t="shared" si="3"/>
        <v>0</v>
      </c>
    </row>
    <row r="84" spans="1:10" ht="16" thickBot="1">
      <c r="A84" t="s">
        <v>1537</v>
      </c>
      <c r="C84">
        <v>34</v>
      </c>
      <c r="E84" s="29" t="s">
        <v>1543</v>
      </c>
      <c r="F84" s="35">
        <f>C85/C$54</f>
        <v>6.5217391304347824E-2</v>
      </c>
      <c r="G84" t="s">
        <v>1486</v>
      </c>
    </row>
    <row r="85" spans="1:10" ht="16" thickBot="1">
      <c r="A85" t="s">
        <v>1538</v>
      </c>
      <c r="C85">
        <v>3</v>
      </c>
      <c r="E85" s="31" t="s">
        <v>1544</v>
      </c>
      <c r="F85" s="36">
        <f>C86/C$54</f>
        <v>0.19565217391304349</v>
      </c>
      <c r="H85" s="27" t="s">
        <v>1806</v>
      </c>
      <c r="I85" s="61">
        <v>0</v>
      </c>
      <c r="J85" s="47"/>
    </row>
    <row r="86" spans="1:10" ht="16" thickBot="1">
      <c r="A86" t="s">
        <v>1539</v>
      </c>
      <c r="C86">
        <v>9</v>
      </c>
      <c r="H86" s="29" t="s">
        <v>1799</v>
      </c>
      <c r="I86">
        <v>0</v>
      </c>
      <c r="J86" s="35" t="e">
        <f t="shared" ref="J86:J91" si="4">I86/I$85</f>
        <v>#DIV/0!</v>
      </c>
    </row>
    <row r="87" spans="1:10">
      <c r="E87" s="27" t="s">
        <v>1547</v>
      </c>
      <c r="F87" s="28"/>
      <c r="H87" s="29" t="s">
        <v>1800</v>
      </c>
      <c r="I87">
        <v>0</v>
      </c>
      <c r="J87" s="35" t="e">
        <f t="shared" si="4"/>
        <v>#DIV/0!</v>
      </c>
    </row>
    <row r="88" spans="1:10">
      <c r="A88" t="s">
        <v>1547</v>
      </c>
      <c r="E88" s="29" t="s">
        <v>1596</v>
      </c>
      <c r="F88" s="35">
        <f>C89/C$54</f>
        <v>0.80434782608695654</v>
      </c>
      <c r="H88" s="29" t="s">
        <v>1801</v>
      </c>
      <c r="I88">
        <v>0</v>
      </c>
      <c r="J88" s="35" t="e">
        <f t="shared" si="4"/>
        <v>#DIV/0!</v>
      </c>
    </row>
    <row r="89" spans="1:10" ht="16" thickBot="1">
      <c r="A89" t="s">
        <v>1568</v>
      </c>
      <c r="C89">
        <v>37</v>
      </c>
      <c r="E89" s="31" t="s">
        <v>1457</v>
      </c>
      <c r="F89" s="36">
        <f>C90/C$56</f>
        <v>0.21951219512195122</v>
      </c>
      <c r="G89" t="s">
        <v>1486</v>
      </c>
      <c r="H89" s="29" t="s">
        <v>1802</v>
      </c>
      <c r="I89">
        <v>0</v>
      </c>
      <c r="J89" s="35" t="e">
        <f t="shared" si="4"/>
        <v>#DIV/0!</v>
      </c>
    </row>
    <row r="90" spans="1:10" ht="16" thickBot="1">
      <c r="A90" t="s">
        <v>1457</v>
      </c>
      <c r="C90">
        <v>9</v>
      </c>
      <c r="F90" s="48"/>
      <c r="H90" s="29" t="s">
        <v>1803</v>
      </c>
      <c r="I90">
        <v>0</v>
      </c>
      <c r="J90" s="35" t="e">
        <f t="shared" si="4"/>
        <v>#DIV/0!</v>
      </c>
    </row>
    <row r="91" spans="1:10" ht="16" thickBot="1">
      <c r="E91" s="27" t="s">
        <v>2429</v>
      </c>
      <c r="F91" s="47"/>
      <c r="H91" s="31" t="s">
        <v>1804</v>
      </c>
      <c r="I91" s="62">
        <v>0</v>
      </c>
      <c r="J91" s="36" t="e">
        <f t="shared" si="4"/>
        <v>#DIV/0!</v>
      </c>
    </row>
    <row r="92" spans="1:10">
      <c r="A92" t="s">
        <v>2429</v>
      </c>
      <c r="E92" s="29" t="s">
        <v>2430</v>
      </c>
      <c r="F92" s="35">
        <f>C93/C$90</f>
        <v>0.88888888888888884</v>
      </c>
    </row>
    <row r="93" spans="1:10" ht="16" thickBot="1">
      <c r="A93" t="s">
        <v>2430</v>
      </c>
      <c r="C93">
        <v>8</v>
      </c>
      <c r="E93" s="31" t="s">
        <v>2431</v>
      </c>
      <c r="F93" s="36">
        <f>C94/C$90</f>
        <v>0.1111111111111111</v>
      </c>
      <c r="G93" t="s">
        <v>1486</v>
      </c>
    </row>
    <row r="94" spans="1:10" ht="16" thickBot="1">
      <c r="A94" t="s">
        <v>2431</v>
      </c>
      <c r="C94">
        <v>1</v>
      </c>
      <c r="H94" s="27" t="s">
        <v>1520</v>
      </c>
      <c r="I94" s="61">
        <v>14</v>
      </c>
      <c r="J94" s="47"/>
    </row>
    <row r="95" spans="1:10">
      <c r="C95" t="s">
        <v>1486</v>
      </c>
      <c r="E95" s="27" t="s">
        <v>1597</v>
      </c>
      <c r="F95" s="28"/>
      <c r="H95" s="29" t="s">
        <v>1960</v>
      </c>
      <c r="I95">
        <v>1</v>
      </c>
      <c r="J95" s="35">
        <f>I95/I$94</f>
        <v>7.1428571428571425E-2</v>
      </c>
    </row>
    <row r="96" spans="1:10">
      <c r="A96" t="s">
        <v>1598</v>
      </c>
      <c r="E96" s="29" t="s">
        <v>1569</v>
      </c>
      <c r="F96" s="35">
        <f t="shared" ref="F96:F101" si="5">C97/C$54</f>
        <v>0.76086956521739135</v>
      </c>
      <c r="H96" s="29" t="s">
        <v>1808</v>
      </c>
      <c r="I96">
        <v>3</v>
      </c>
      <c r="J96" s="35">
        <f>I96/I$94</f>
        <v>0.21428571428571427</v>
      </c>
    </row>
    <row r="97" spans="1:10">
      <c r="A97" t="s">
        <v>1569</v>
      </c>
      <c r="C97">
        <v>35</v>
      </c>
      <c r="E97" s="29" t="s">
        <v>1571</v>
      </c>
      <c r="F97" s="35">
        <f t="shared" si="5"/>
        <v>4.3478260869565216E-2</v>
      </c>
      <c r="H97" s="29" t="s">
        <v>1809</v>
      </c>
      <c r="I97">
        <v>1</v>
      </c>
      <c r="J97" s="35">
        <f>I97/I$94</f>
        <v>7.1428571428571425E-2</v>
      </c>
    </row>
    <row r="98" spans="1:10">
      <c r="A98" t="s">
        <v>1571</v>
      </c>
      <c r="C98">
        <v>2</v>
      </c>
      <c r="E98" s="29" t="s">
        <v>1572</v>
      </c>
      <c r="F98" s="35">
        <f t="shared" si="5"/>
        <v>0</v>
      </c>
      <c r="H98" s="29" t="s">
        <v>1810</v>
      </c>
      <c r="I98">
        <v>2</v>
      </c>
      <c r="J98" s="35">
        <f>I98/I$94</f>
        <v>0.14285714285714285</v>
      </c>
    </row>
    <row r="99" spans="1:10" ht="16" thickBot="1">
      <c r="A99" t="s">
        <v>1572</v>
      </c>
      <c r="C99">
        <v>0</v>
      </c>
      <c r="E99" s="29" t="s">
        <v>1573</v>
      </c>
      <c r="F99" s="35">
        <f t="shared" si="5"/>
        <v>0</v>
      </c>
      <c r="H99" s="31" t="s">
        <v>1811</v>
      </c>
      <c r="I99" s="62">
        <v>7</v>
      </c>
      <c r="J99" s="36">
        <f>I99/I$94</f>
        <v>0.5</v>
      </c>
    </row>
    <row r="100" spans="1:10">
      <c r="A100" t="s">
        <v>1573</v>
      </c>
      <c r="C100">
        <v>0</v>
      </c>
      <c r="E100" s="29" t="s">
        <v>1570</v>
      </c>
      <c r="F100" s="35">
        <f t="shared" si="5"/>
        <v>0.19565217391304349</v>
      </c>
      <c r="G100" t="s">
        <v>1486</v>
      </c>
    </row>
    <row r="101" spans="1:10" ht="16" thickBot="1">
      <c r="A101" t="s">
        <v>1570</v>
      </c>
      <c r="C101">
        <v>9</v>
      </c>
      <c r="E101" s="31" t="s">
        <v>1574</v>
      </c>
      <c r="F101" s="36">
        <f t="shared" si="5"/>
        <v>0</v>
      </c>
    </row>
    <row r="102" spans="1:10" ht="16" thickBot="1">
      <c r="A102" t="s">
        <v>1574</v>
      </c>
      <c r="C102">
        <v>0</v>
      </c>
      <c r="H102" s="27" t="s">
        <v>1574</v>
      </c>
      <c r="I102" s="61">
        <v>15</v>
      </c>
      <c r="J102" s="47"/>
    </row>
    <row r="103" spans="1:10">
      <c r="E103" s="27" t="s">
        <v>1551</v>
      </c>
      <c r="F103" s="28"/>
      <c r="H103" s="29" t="s">
        <v>1812</v>
      </c>
      <c r="I103">
        <v>4</v>
      </c>
      <c r="J103" s="35">
        <f>I103/I$102</f>
        <v>0.26666666666666666</v>
      </c>
    </row>
    <row r="104" spans="1:10">
      <c r="A104" t="s">
        <v>1540</v>
      </c>
      <c r="C104">
        <v>4</v>
      </c>
      <c r="E104" s="29" t="s">
        <v>1506</v>
      </c>
      <c r="F104" s="35">
        <f t="shared" ref="F104:F109" si="6">C105/C$54</f>
        <v>0.60869565217391308</v>
      </c>
      <c r="H104" s="29" t="s">
        <v>1813</v>
      </c>
      <c r="I104">
        <v>2</v>
      </c>
      <c r="J104" s="35">
        <f t="shared" ref="J104:J110" si="7">I104/I$102</f>
        <v>0.13333333333333333</v>
      </c>
    </row>
    <row r="105" spans="1:10">
      <c r="A105" t="s">
        <v>1506</v>
      </c>
      <c r="C105">
        <v>28</v>
      </c>
      <c r="E105" s="29" t="s">
        <v>1503</v>
      </c>
      <c r="F105" s="35">
        <f t="shared" si="6"/>
        <v>0.2608695652173913</v>
      </c>
      <c r="H105" s="29" t="s">
        <v>1814</v>
      </c>
      <c r="I105">
        <v>0</v>
      </c>
      <c r="J105" s="35">
        <f t="shared" si="7"/>
        <v>0</v>
      </c>
    </row>
    <row r="106" spans="1:10">
      <c r="A106" t="s">
        <v>1503</v>
      </c>
      <c r="C106">
        <v>12</v>
      </c>
      <c r="E106" s="29" t="s">
        <v>1502</v>
      </c>
      <c r="F106" s="35">
        <f t="shared" si="6"/>
        <v>6.5217391304347824E-2</v>
      </c>
      <c r="H106" s="29" t="s">
        <v>1716</v>
      </c>
      <c r="I106">
        <v>0</v>
      </c>
      <c r="J106" s="35">
        <f t="shared" si="7"/>
        <v>0</v>
      </c>
    </row>
    <row r="107" spans="1:10">
      <c r="A107" t="s">
        <v>1502</v>
      </c>
      <c r="C107">
        <v>3</v>
      </c>
      <c r="E107" s="29" t="s">
        <v>1507</v>
      </c>
      <c r="F107" s="35">
        <f t="shared" si="6"/>
        <v>4.3478260869565216E-2</v>
      </c>
      <c r="H107" s="29" t="s">
        <v>1815</v>
      </c>
      <c r="I107">
        <v>4</v>
      </c>
      <c r="J107" s="35">
        <f t="shared" si="7"/>
        <v>0.26666666666666666</v>
      </c>
    </row>
    <row r="108" spans="1:10">
      <c r="A108" t="s">
        <v>1507</v>
      </c>
      <c r="C108">
        <v>2</v>
      </c>
      <c r="E108" s="29" t="s">
        <v>1505</v>
      </c>
      <c r="F108" s="35">
        <f t="shared" si="6"/>
        <v>2.1739130434782608E-2</v>
      </c>
      <c r="H108" s="29" t="s">
        <v>1820</v>
      </c>
      <c r="I108">
        <v>2</v>
      </c>
      <c r="J108" s="35">
        <f t="shared" si="7"/>
        <v>0.13333333333333333</v>
      </c>
    </row>
    <row r="109" spans="1:10" ht="16" thickBot="1">
      <c r="A109" t="s">
        <v>1505</v>
      </c>
      <c r="C109">
        <v>1</v>
      </c>
      <c r="E109" s="31" t="s">
        <v>1504</v>
      </c>
      <c r="F109" s="36">
        <f t="shared" si="6"/>
        <v>0</v>
      </c>
      <c r="H109" s="29" t="s">
        <v>1961</v>
      </c>
      <c r="I109">
        <v>1</v>
      </c>
      <c r="J109" s="35">
        <f t="shared" si="7"/>
        <v>6.6666666666666666E-2</v>
      </c>
    </row>
    <row r="110" spans="1:10" ht="16" thickBot="1">
      <c r="A110" t="s">
        <v>1504</v>
      </c>
      <c r="C110">
        <v>0</v>
      </c>
      <c r="H110" s="31" t="s">
        <v>1859</v>
      </c>
      <c r="I110" s="62">
        <v>2</v>
      </c>
      <c r="J110" s="36">
        <f t="shared" si="7"/>
        <v>0.13333333333333333</v>
      </c>
    </row>
  </sheetData>
  <mergeCells count="1">
    <mergeCell ref="A50:F50"/>
  </mergeCells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6"/>
  <sheetViews>
    <sheetView topLeftCell="A69" workbookViewId="0">
      <selection activeCell="F87" sqref="F87:F88"/>
    </sheetView>
  </sheetViews>
  <sheetFormatPr baseColWidth="10" defaultRowHeight="15"/>
  <cols>
    <col min="2" max="2" width="28.83203125" customWidth="1"/>
    <col min="7" max="7" width="45.6640625" customWidth="1"/>
    <col min="8" max="8" width="26.33203125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44502</v>
      </c>
      <c r="B2" t="s">
        <v>1906</v>
      </c>
      <c r="C2" t="s">
        <v>1506</v>
      </c>
      <c r="D2" s="41" t="s">
        <v>1509</v>
      </c>
      <c r="E2" t="s">
        <v>18</v>
      </c>
      <c r="F2" s="52">
        <v>980.4</v>
      </c>
      <c r="G2" t="s">
        <v>643</v>
      </c>
      <c r="H2" t="s">
        <v>2048</v>
      </c>
    </row>
    <row r="3" spans="1:8">
      <c r="A3" s="6">
        <v>44502</v>
      </c>
      <c r="B3" t="s">
        <v>1911</v>
      </c>
      <c r="C3" t="s">
        <v>2135</v>
      </c>
      <c r="D3" t="s">
        <v>1509</v>
      </c>
      <c r="E3" t="s">
        <v>18</v>
      </c>
      <c r="F3" s="52">
        <v>1077.3</v>
      </c>
      <c r="G3" t="s">
        <v>1914</v>
      </c>
      <c r="H3" t="s">
        <v>1928</v>
      </c>
    </row>
    <row r="4" spans="1:8">
      <c r="A4" s="6">
        <v>44503</v>
      </c>
      <c r="B4" t="s">
        <v>1916</v>
      </c>
      <c r="C4" t="s">
        <v>1506</v>
      </c>
      <c r="D4" t="s">
        <v>1509</v>
      </c>
      <c r="E4" t="s">
        <v>18</v>
      </c>
      <c r="F4" s="52">
        <v>2896.2</v>
      </c>
      <c r="G4" t="s">
        <v>1919</v>
      </c>
      <c r="H4" t="s">
        <v>1935</v>
      </c>
    </row>
    <row r="5" spans="1:8">
      <c r="A5" s="6">
        <v>44505</v>
      </c>
      <c r="B5" t="s">
        <v>1940</v>
      </c>
      <c r="C5" t="s">
        <v>2135</v>
      </c>
      <c r="D5" t="s">
        <v>1509</v>
      </c>
      <c r="E5" t="s">
        <v>18</v>
      </c>
      <c r="F5" s="52">
        <v>1282.5</v>
      </c>
      <c r="G5" t="s">
        <v>1938</v>
      </c>
      <c r="H5" t="s">
        <v>1946</v>
      </c>
    </row>
    <row r="6" spans="1:8">
      <c r="A6" s="6">
        <v>44505</v>
      </c>
      <c r="B6" t="s">
        <v>1942</v>
      </c>
      <c r="C6" t="s">
        <v>1504</v>
      </c>
      <c r="D6" t="s">
        <v>1509</v>
      </c>
      <c r="E6" t="s">
        <v>18</v>
      </c>
      <c r="F6" s="52">
        <v>1775.55</v>
      </c>
      <c r="G6" t="s">
        <v>1945</v>
      </c>
      <c r="H6" t="s">
        <v>1968</v>
      </c>
    </row>
    <row r="7" spans="1:8">
      <c r="A7" s="6">
        <v>44508</v>
      </c>
      <c r="B7" t="s">
        <v>1963</v>
      </c>
      <c r="C7" t="s">
        <v>1506</v>
      </c>
      <c r="D7" t="s">
        <v>1509</v>
      </c>
      <c r="E7" t="s">
        <v>18</v>
      </c>
      <c r="F7" s="52">
        <v>1259.0999999999999</v>
      </c>
      <c r="G7" t="s">
        <v>1966</v>
      </c>
      <c r="H7" t="s">
        <v>681</v>
      </c>
    </row>
    <row r="8" spans="1:8">
      <c r="A8" s="6">
        <v>44508</v>
      </c>
      <c r="B8" t="s">
        <v>1970</v>
      </c>
      <c r="C8" t="s">
        <v>1506</v>
      </c>
      <c r="D8" t="s">
        <v>1509</v>
      </c>
      <c r="E8" t="s">
        <v>18</v>
      </c>
      <c r="F8" s="52">
        <v>1290</v>
      </c>
      <c r="G8" t="s">
        <v>1973</v>
      </c>
      <c r="H8" t="s">
        <v>1974</v>
      </c>
    </row>
    <row r="9" spans="1:8">
      <c r="A9" s="6">
        <v>44509</v>
      </c>
      <c r="B9" t="s">
        <v>1976</v>
      </c>
      <c r="C9" t="s">
        <v>1506</v>
      </c>
      <c r="D9" t="s">
        <v>1509</v>
      </c>
      <c r="E9" t="s">
        <v>18</v>
      </c>
      <c r="F9" s="52">
        <v>819</v>
      </c>
      <c r="G9" t="s">
        <v>1979</v>
      </c>
      <c r="H9" t="s">
        <v>1980</v>
      </c>
    </row>
    <row r="10" spans="1:8">
      <c r="A10" s="6">
        <v>44509</v>
      </c>
      <c r="B10" t="s">
        <v>2139</v>
      </c>
      <c r="C10" t="s">
        <v>1506</v>
      </c>
      <c r="D10" t="s">
        <v>1509</v>
      </c>
      <c r="E10" t="s">
        <v>18</v>
      </c>
      <c r="F10" s="52">
        <v>2842.4</v>
      </c>
      <c r="G10" t="s">
        <v>175</v>
      </c>
      <c r="H10" t="s">
        <v>38</v>
      </c>
    </row>
    <row r="11" spans="1:8">
      <c r="A11" s="6">
        <v>44502</v>
      </c>
      <c r="B11" t="s">
        <v>1985</v>
      </c>
      <c r="C11" t="s">
        <v>2135</v>
      </c>
      <c r="D11" t="s">
        <v>1509</v>
      </c>
      <c r="E11" t="s">
        <v>18</v>
      </c>
      <c r="F11" s="52">
        <v>1260</v>
      </c>
      <c r="G11" t="s">
        <v>1988</v>
      </c>
      <c r="H11" t="s">
        <v>2001</v>
      </c>
    </row>
    <row r="12" spans="1:8">
      <c r="A12" s="6">
        <v>44510</v>
      </c>
      <c r="B12" t="s">
        <v>1990</v>
      </c>
      <c r="C12" t="s">
        <v>1506</v>
      </c>
      <c r="D12" t="s">
        <v>1509</v>
      </c>
      <c r="E12" t="s">
        <v>63</v>
      </c>
      <c r="F12" s="52">
        <v>1533.6</v>
      </c>
      <c r="G12" t="s">
        <v>1993</v>
      </c>
      <c r="H12" t="s">
        <v>341</v>
      </c>
    </row>
    <row r="13" spans="1:8">
      <c r="A13" s="6">
        <v>44502</v>
      </c>
      <c r="B13" t="s">
        <v>1997</v>
      </c>
      <c r="C13" t="s">
        <v>1506</v>
      </c>
      <c r="D13" t="s">
        <v>1509</v>
      </c>
      <c r="E13" t="s">
        <v>18</v>
      </c>
      <c r="F13" s="52">
        <v>928</v>
      </c>
      <c r="G13" t="s">
        <v>2000</v>
      </c>
      <c r="H13" t="s">
        <v>2041</v>
      </c>
    </row>
    <row r="14" spans="1:8">
      <c r="A14" s="6">
        <v>44515</v>
      </c>
      <c r="B14" t="s">
        <v>947</v>
      </c>
      <c r="C14" t="s">
        <v>1506</v>
      </c>
      <c r="D14" t="s">
        <v>1509</v>
      </c>
      <c r="E14" t="s">
        <v>1455</v>
      </c>
      <c r="F14" s="52">
        <v>1505.7</v>
      </c>
      <c r="G14" t="s">
        <v>2140</v>
      </c>
      <c r="H14" t="s">
        <v>2141</v>
      </c>
    </row>
    <row r="15" spans="1:8">
      <c r="A15" s="6">
        <v>44516</v>
      </c>
      <c r="B15" t="s">
        <v>2037</v>
      </c>
      <c r="C15" t="s">
        <v>1506</v>
      </c>
      <c r="D15" t="s">
        <v>1509</v>
      </c>
      <c r="E15" t="s">
        <v>18</v>
      </c>
      <c r="F15" s="52">
        <v>990</v>
      </c>
      <c r="G15" t="s">
        <v>2040</v>
      </c>
      <c r="H15" t="s">
        <v>403</v>
      </c>
    </row>
    <row r="16" spans="1:8">
      <c r="A16" s="6">
        <v>44513</v>
      </c>
      <c r="B16" t="s">
        <v>2043</v>
      </c>
      <c r="C16" t="s">
        <v>1506</v>
      </c>
      <c r="D16" t="s">
        <v>1509</v>
      </c>
      <c r="E16" t="s">
        <v>18</v>
      </c>
      <c r="F16" s="52">
        <v>1093.6400000000001</v>
      </c>
      <c r="G16" t="s">
        <v>2046</v>
      </c>
      <c r="H16" t="s">
        <v>2054</v>
      </c>
    </row>
    <row r="17" spans="1:8">
      <c r="A17" s="6">
        <v>44515</v>
      </c>
      <c r="B17" t="s">
        <v>1906</v>
      </c>
      <c r="C17" t="s">
        <v>1506</v>
      </c>
      <c r="D17" t="s">
        <v>1509</v>
      </c>
      <c r="E17" t="s">
        <v>1455</v>
      </c>
      <c r="F17" s="52">
        <v>980.4</v>
      </c>
      <c r="G17" t="s">
        <v>643</v>
      </c>
      <c r="H17" t="s">
        <v>1457</v>
      </c>
    </row>
    <row r="18" spans="1:8">
      <c r="A18" s="6">
        <v>44517</v>
      </c>
      <c r="B18" t="s">
        <v>2050</v>
      </c>
      <c r="C18" t="s">
        <v>2135</v>
      </c>
      <c r="D18" t="s">
        <v>1509</v>
      </c>
      <c r="E18" t="s">
        <v>18</v>
      </c>
      <c r="F18" s="52">
        <v>1010.8</v>
      </c>
      <c r="G18" t="s">
        <v>2150</v>
      </c>
      <c r="H18" t="s">
        <v>792</v>
      </c>
    </row>
    <row r="19" spans="1:8">
      <c r="A19" s="6">
        <v>44510</v>
      </c>
      <c r="B19" t="s">
        <v>2056</v>
      </c>
      <c r="C19" t="s">
        <v>1506</v>
      </c>
      <c r="D19" t="s">
        <v>1509</v>
      </c>
      <c r="E19" t="s">
        <v>18</v>
      </c>
      <c r="F19" s="52">
        <v>917.5</v>
      </c>
      <c r="G19" t="s">
        <v>2059</v>
      </c>
      <c r="H19" t="s">
        <v>403</v>
      </c>
    </row>
    <row r="20" spans="1:8">
      <c r="A20" s="6">
        <v>44503</v>
      </c>
      <c r="B20" t="s">
        <v>2061</v>
      </c>
      <c r="C20" t="s">
        <v>2135</v>
      </c>
      <c r="D20" t="s">
        <v>1509</v>
      </c>
      <c r="E20" t="s">
        <v>18</v>
      </c>
      <c r="F20" s="52">
        <v>2055</v>
      </c>
      <c r="G20" t="s">
        <v>2064</v>
      </c>
      <c r="H20" t="s">
        <v>2065</v>
      </c>
    </row>
    <row r="21" spans="1:8">
      <c r="A21" s="6">
        <v>44513</v>
      </c>
      <c r="B21" t="s">
        <v>2067</v>
      </c>
      <c r="C21" t="s">
        <v>1506</v>
      </c>
      <c r="D21" t="s">
        <v>1509</v>
      </c>
      <c r="E21" t="s">
        <v>18</v>
      </c>
      <c r="F21" s="52">
        <v>1082.43</v>
      </c>
      <c r="G21" t="s">
        <v>2149</v>
      </c>
      <c r="H21" t="s">
        <v>2071</v>
      </c>
    </row>
    <row r="22" spans="1:8">
      <c r="A22" s="6">
        <v>44516</v>
      </c>
      <c r="B22" s="6" t="s">
        <v>2072</v>
      </c>
      <c r="C22" t="s">
        <v>2135</v>
      </c>
      <c r="D22" t="s">
        <v>1509</v>
      </c>
      <c r="E22" t="s">
        <v>18</v>
      </c>
      <c r="F22" s="52">
        <v>868.35</v>
      </c>
      <c r="G22" t="s">
        <v>2075</v>
      </c>
      <c r="H22" t="s">
        <v>2085</v>
      </c>
    </row>
    <row r="23" spans="1:8">
      <c r="A23" s="6">
        <v>44519</v>
      </c>
      <c r="B23" t="s">
        <v>2077</v>
      </c>
      <c r="C23" t="s">
        <v>1506</v>
      </c>
      <c r="D23" t="s">
        <v>1509</v>
      </c>
      <c r="E23" t="s">
        <v>719</v>
      </c>
      <c r="F23" s="52">
        <v>1207</v>
      </c>
      <c r="G23" t="s">
        <v>2079</v>
      </c>
      <c r="H23" t="s">
        <v>38</v>
      </c>
    </row>
    <row r="24" spans="1:8">
      <c r="A24" s="6">
        <v>44510</v>
      </c>
      <c r="B24" t="s">
        <v>2081</v>
      </c>
      <c r="C24" t="s">
        <v>2136</v>
      </c>
      <c r="D24" t="s">
        <v>1509</v>
      </c>
      <c r="E24" t="s">
        <v>18</v>
      </c>
      <c r="F24" s="52">
        <v>968.81</v>
      </c>
      <c r="G24" t="s">
        <v>2084</v>
      </c>
      <c r="H24" t="s">
        <v>2095</v>
      </c>
    </row>
    <row r="25" spans="1:8">
      <c r="A25" s="6">
        <v>44522</v>
      </c>
      <c r="B25" t="s">
        <v>2086</v>
      </c>
      <c r="C25" t="s">
        <v>1506</v>
      </c>
      <c r="D25" s="41" t="s">
        <v>1509</v>
      </c>
      <c r="E25" t="s">
        <v>18</v>
      </c>
      <c r="F25" s="52">
        <v>3482.1</v>
      </c>
      <c r="G25" t="s">
        <v>2137</v>
      </c>
    </row>
    <row r="26" spans="1:8">
      <c r="A26" s="6">
        <v>44523</v>
      </c>
      <c r="B26" t="s">
        <v>2086</v>
      </c>
      <c r="C26" t="s">
        <v>1506</v>
      </c>
      <c r="D26" s="41" t="s">
        <v>1509</v>
      </c>
      <c r="E26" t="s">
        <v>1455</v>
      </c>
      <c r="F26" s="52">
        <v>2781</v>
      </c>
      <c r="G26" t="s">
        <v>2138</v>
      </c>
      <c r="H26" t="s">
        <v>1457</v>
      </c>
    </row>
    <row r="27" spans="1:8">
      <c r="A27" s="6">
        <v>44524</v>
      </c>
      <c r="B27" t="s">
        <v>2142</v>
      </c>
      <c r="C27" t="s">
        <v>2143</v>
      </c>
      <c r="D27" s="41" t="s">
        <v>1509</v>
      </c>
      <c r="E27" t="s">
        <v>1455</v>
      </c>
      <c r="F27" s="52">
        <v>1578.6</v>
      </c>
      <c r="G27" t="s">
        <v>2144</v>
      </c>
      <c r="H27" t="s">
        <v>1457</v>
      </c>
    </row>
    <row r="28" spans="1:8">
      <c r="A28" s="6">
        <v>44525</v>
      </c>
      <c r="B28" t="s">
        <v>2145</v>
      </c>
      <c r="C28" t="s">
        <v>1506</v>
      </c>
      <c r="D28" s="41" t="s">
        <v>1510</v>
      </c>
      <c r="E28" t="s">
        <v>1455</v>
      </c>
      <c r="F28" s="52">
        <v>1180.76</v>
      </c>
      <c r="G28" t="s">
        <v>524</v>
      </c>
      <c r="H28" t="s">
        <v>1457</v>
      </c>
    </row>
    <row r="29" spans="1:8">
      <c r="A29" s="6">
        <v>44526</v>
      </c>
      <c r="B29" t="s">
        <v>2092</v>
      </c>
      <c r="C29" t="s">
        <v>1506</v>
      </c>
      <c r="D29" s="41" t="s">
        <v>1509</v>
      </c>
      <c r="E29" t="s">
        <v>18</v>
      </c>
      <c r="F29" s="52">
        <v>2449.8000000000002</v>
      </c>
      <c r="G29" t="s">
        <v>2151</v>
      </c>
      <c r="H29" t="s">
        <v>20</v>
      </c>
    </row>
    <row r="30" spans="1:8">
      <c r="A30" s="6">
        <v>44526</v>
      </c>
      <c r="B30" t="s">
        <v>2096</v>
      </c>
      <c r="C30" t="s">
        <v>2135</v>
      </c>
      <c r="D30" s="41" t="s">
        <v>1509</v>
      </c>
      <c r="E30" t="s">
        <v>18</v>
      </c>
      <c r="F30" s="52">
        <v>1045</v>
      </c>
      <c r="G30" t="s">
        <v>2146</v>
      </c>
      <c r="H30" t="s">
        <v>2112</v>
      </c>
    </row>
    <row r="31" spans="1:8">
      <c r="A31" s="6">
        <v>44527</v>
      </c>
      <c r="B31" t="s">
        <v>2100</v>
      </c>
      <c r="C31" t="s">
        <v>1506</v>
      </c>
      <c r="D31" t="s">
        <v>1509</v>
      </c>
      <c r="E31" t="s">
        <v>18</v>
      </c>
      <c r="F31" s="52">
        <v>1170.32</v>
      </c>
      <c r="G31" t="s">
        <v>2103</v>
      </c>
      <c r="H31" t="s">
        <v>2128</v>
      </c>
    </row>
    <row r="32" spans="1:8">
      <c r="A32" s="6">
        <v>44527</v>
      </c>
      <c r="B32" t="s">
        <v>2105</v>
      </c>
      <c r="C32" t="s">
        <v>1506</v>
      </c>
      <c r="D32" t="s">
        <v>1509</v>
      </c>
      <c r="E32" t="s">
        <v>18</v>
      </c>
      <c r="F32" s="52">
        <v>1134</v>
      </c>
      <c r="G32" t="s">
        <v>2108</v>
      </c>
      <c r="H32" t="s">
        <v>2109</v>
      </c>
    </row>
    <row r="33" spans="1:10">
      <c r="A33" s="6">
        <v>44529</v>
      </c>
      <c r="B33" t="s">
        <v>2096</v>
      </c>
      <c r="C33" t="s">
        <v>2135</v>
      </c>
      <c r="D33" s="41" t="s">
        <v>1509</v>
      </c>
      <c r="E33" t="s">
        <v>1455</v>
      </c>
      <c r="F33" s="52">
        <v>2203.8000000000002</v>
      </c>
      <c r="G33" t="s">
        <v>2147</v>
      </c>
      <c r="H33" t="s">
        <v>1457</v>
      </c>
    </row>
    <row r="34" spans="1:10">
      <c r="A34" s="6">
        <v>44529</v>
      </c>
      <c r="B34" t="s">
        <v>2114</v>
      </c>
      <c r="C34" t="s">
        <v>1506</v>
      </c>
      <c r="D34" t="s">
        <v>1509</v>
      </c>
      <c r="E34" t="s">
        <v>18</v>
      </c>
      <c r="F34" s="52">
        <v>1038.5</v>
      </c>
      <c r="G34" t="s">
        <v>2117</v>
      </c>
      <c r="H34" t="s">
        <v>2129</v>
      </c>
    </row>
    <row r="35" spans="1:10">
      <c r="A35" s="6">
        <v>44529</v>
      </c>
      <c r="B35" t="s">
        <v>2119</v>
      </c>
      <c r="C35" t="s">
        <v>1506</v>
      </c>
      <c r="D35" s="41" t="s">
        <v>1510</v>
      </c>
      <c r="E35" t="s">
        <v>18</v>
      </c>
      <c r="F35" s="52">
        <v>1831.52</v>
      </c>
      <c r="G35" t="s">
        <v>2122</v>
      </c>
      <c r="H35" t="s">
        <v>792</v>
      </c>
    </row>
    <row r="36" spans="1:10">
      <c r="A36" s="6">
        <v>44530</v>
      </c>
      <c r="B36" t="s">
        <v>2092</v>
      </c>
      <c r="C36" t="s">
        <v>2135</v>
      </c>
      <c r="D36" s="41" t="s">
        <v>1509</v>
      </c>
      <c r="E36" t="s">
        <v>1455</v>
      </c>
      <c r="F36" s="52">
        <v>994</v>
      </c>
      <c r="G36" t="s">
        <v>2148</v>
      </c>
      <c r="H36" t="s">
        <v>1457</v>
      </c>
    </row>
    <row r="37" spans="1:10">
      <c r="A37" s="6">
        <v>44530</v>
      </c>
      <c r="B37" t="s">
        <v>2124</v>
      </c>
      <c r="C37" t="s">
        <v>2136</v>
      </c>
      <c r="D37" t="s">
        <v>1509</v>
      </c>
      <c r="E37" t="s">
        <v>18</v>
      </c>
      <c r="F37" s="52">
        <v>2199.6</v>
      </c>
      <c r="G37" t="s">
        <v>2127</v>
      </c>
      <c r="H37" t="s">
        <v>792</v>
      </c>
    </row>
    <row r="38" spans="1:10">
      <c r="A38" s="6">
        <v>44530</v>
      </c>
      <c r="B38" t="s">
        <v>2131</v>
      </c>
      <c r="C38" t="s">
        <v>1506</v>
      </c>
      <c r="D38" t="s">
        <v>1509</v>
      </c>
      <c r="E38" t="s">
        <v>18</v>
      </c>
      <c r="F38" s="52">
        <v>987</v>
      </c>
      <c r="G38" t="s">
        <v>2134</v>
      </c>
      <c r="H38" t="s">
        <v>268</v>
      </c>
    </row>
    <row r="39" spans="1:10">
      <c r="A39" s="6">
        <v>44501</v>
      </c>
      <c r="B39" t="s">
        <v>372</v>
      </c>
      <c r="C39" t="s">
        <v>1506</v>
      </c>
      <c r="D39" t="s">
        <v>1509</v>
      </c>
      <c r="E39" t="s">
        <v>1455</v>
      </c>
      <c r="F39" s="52">
        <v>1250.5999999999999</v>
      </c>
      <c r="G39" s="8" t="s">
        <v>2182</v>
      </c>
      <c r="H39" s="8" t="s">
        <v>1457</v>
      </c>
    </row>
    <row r="40" spans="1:10">
      <c r="A40" s="6">
        <v>44520</v>
      </c>
      <c r="B40" s="6" t="s">
        <v>2086</v>
      </c>
      <c r="C40" t="s">
        <v>1506</v>
      </c>
      <c r="D40" t="s">
        <v>1509</v>
      </c>
      <c r="E40" t="s">
        <v>1455</v>
      </c>
      <c r="F40" s="52">
        <v>1339.2</v>
      </c>
      <c r="G40" s="8" t="s">
        <v>2201</v>
      </c>
      <c r="H40" s="8" t="s">
        <v>1457</v>
      </c>
    </row>
    <row r="41" spans="1:10">
      <c r="A41" s="6">
        <v>44526</v>
      </c>
      <c r="B41" t="s">
        <v>2192</v>
      </c>
      <c r="C41" t="s">
        <v>2202</v>
      </c>
      <c r="D41" t="s">
        <v>1509</v>
      </c>
      <c r="E41" t="s">
        <v>18</v>
      </c>
      <c r="F41" s="52">
        <v>1089.28</v>
      </c>
      <c r="G41" s="8" t="s">
        <v>2203</v>
      </c>
      <c r="H41" s="8"/>
    </row>
    <row r="42" spans="1:10">
      <c r="A42" s="6">
        <v>44522</v>
      </c>
      <c r="B42" t="s">
        <v>790</v>
      </c>
      <c r="C42" t="s">
        <v>1506</v>
      </c>
      <c r="D42" t="s">
        <v>1509</v>
      </c>
      <c r="E42" t="s">
        <v>1455</v>
      </c>
      <c r="F42" s="52">
        <v>1186.2</v>
      </c>
      <c r="G42" s="8" t="s">
        <v>2213</v>
      </c>
      <c r="H42" s="8" t="s">
        <v>1457</v>
      </c>
    </row>
    <row r="43" spans="1:10">
      <c r="A43" s="6"/>
      <c r="G43" s="8"/>
      <c r="H43" s="8"/>
    </row>
    <row r="44" spans="1:10">
      <c r="A44" s="6"/>
      <c r="G44" s="8"/>
      <c r="H44" s="8"/>
    </row>
    <row r="45" spans="1:10" ht="16" thickBot="1">
      <c r="A45" s="106" t="s">
        <v>1541</v>
      </c>
      <c r="B45" s="106"/>
      <c r="C45" s="106"/>
      <c r="D45" s="106"/>
      <c r="E45" s="106"/>
      <c r="F45" s="106"/>
    </row>
    <row r="46" spans="1:10">
      <c r="A46" t="s">
        <v>1513</v>
      </c>
      <c r="C46" s="8">
        <f>SUM(F2:F42)</f>
        <v>59564.959999999992</v>
      </c>
      <c r="E46" s="27" t="s">
        <v>1546</v>
      </c>
      <c r="F46" s="28"/>
      <c r="H46" s="27" t="s">
        <v>1515</v>
      </c>
      <c r="I46" s="61">
        <v>25</v>
      </c>
      <c r="J46" s="47"/>
    </row>
    <row r="47" spans="1:10">
      <c r="E47" s="29" t="s">
        <v>1552</v>
      </c>
      <c r="F47" s="50">
        <v>59564.959999999992</v>
      </c>
      <c r="H47" s="29" t="s">
        <v>1768</v>
      </c>
      <c r="I47">
        <v>2</v>
      </c>
      <c r="J47" s="35">
        <f>I47/I$46</f>
        <v>0.08</v>
      </c>
    </row>
    <row r="48" spans="1:10" ht="16" thickBot="1">
      <c r="A48" t="s">
        <v>1545</v>
      </c>
      <c r="C48">
        <v>25</v>
      </c>
      <c r="E48" s="31" t="s">
        <v>1553</v>
      </c>
      <c r="F48" s="51">
        <f>C46/C48</f>
        <v>2382.5983999999999</v>
      </c>
      <c r="H48" s="29" t="s">
        <v>1769</v>
      </c>
      <c r="I48">
        <v>23</v>
      </c>
      <c r="J48" s="35">
        <f>I48/I$46</f>
        <v>0.92</v>
      </c>
    </row>
    <row r="49" spans="1:10" ht="16" thickBot="1">
      <c r="A49" t="s">
        <v>1535</v>
      </c>
      <c r="C49">
        <v>41</v>
      </c>
      <c r="H49" s="31" t="s">
        <v>1770</v>
      </c>
      <c r="I49" s="62">
        <v>0</v>
      </c>
      <c r="J49" s="36">
        <f>I49/I$46</f>
        <v>0</v>
      </c>
    </row>
    <row r="50" spans="1:10">
      <c r="D50" t="s">
        <v>1486</v>
      </c>
      <c r="E50" s="27" t="s">
        <v>1547</v>
      </c>
      <c r="F50" s="28"/>
      <c r="J50" s="48"/>
    </row>
    <row r="51" spans="1:10" ht="16" thickBot="1">
      <c r="A51" t="s">
        <v>1511</v>
      </c>
      <c r="C51">
        <v>39</v>
      </c>
      <c r="D51" t="s">
        <v>1486</v>
      </c>
      <c r="E51" s="29" t="s">
        <v>1509</v>
      </c>
      <c r="F51" s="35">
        <f>C51/C$49</f>
        <v>0.95121951219512191</v>
      </c>
      <c r="J51" s="48"/>
    </row>
    <row r="52" spans="1:10" ht="16" thickBot="1">
      <c r="A52" t="s">
        <v>1512</v>
      </c>
      <c r="C52">
        <v>2</v>
      </c>
      <c r="E52" s="31" t="s">
        <v>1510</v>
      </c>
      <c r="F52" s="36">
        <f>C52/C$49</f>
        <v>4.878048780487805E-2</v>
      </c>
      <c r="H52" s="27" t="s">
        <v>1807</v>
      </c>
      <c r="I52" s="61">
        <v>19</v>
      </c>
      <c r="J52" s="47"/>
    </row>
    <row r="53" spans="1:10" ht="16" thickBot="1">
      <c r="F53" s="45"/>
      <c r="H53" s="29" t="s">
        <v>1771</v>
      </c>
      <c r="I53">
        <v>8</v>
      </c>
      <c r="J53" s="35">
        <f>I53/I$52</f>
        <v>0.42105263157894735</v>
      </c>
    </row>
    <row r="54" spans="1:10">
      <c r="A54" t="s">
        <v>1524</v>
      </c>
      <c r="E54" s="27" t="s">
        <v>1548</v>
      </c>
      <c r="F54" s="47"/>
      <c r="H54" s="29" t="s">
        <v>1772</v>
      </c>
      <c r="I54">
        <v>7</v>
      </c>
      <c r="J54" s="35">
        <f>I54/I$52</f>
        <v>0.36842105263157893</v>
      </c>
    </row>
    <row r="55" spans="1:10">
      <c r="A55" t="s">
        <v>1514</v>
      </c>
      <c r="C55">
        <v>3</v>
      </c>
      <c r="E55" s="29" t="s">
        <v>1514</v>
      </c>
      <c r="F55" s="35">
        <f>C55/C$64</f>
        <v>3.2608695652173912E-2</v>
      </c>
      <c r="H55" s="29" t="s">
        <v>1773</v>
      </c>
      <c r="I55">
        <v>4</v>
      </c>
      <c r="J55" s="35">
        <f>I55/I$52</f>
        <v>0.21052631578947367</v>
      </c>
    </row>
    <row r="56" spans="1:10">
      <c r="A56" t="s">
        <v>1515</v>
      </c>
      <c r="C56">
        <v>25</v>
      </c>
      <c r="E56" s="29" t="s">
        <v>1515</v>
      </c>
      <c r="F56" s="35">
        <f t="shared" ref="F56:F63" si="0">C56/C$64</f>
        <v>0.27173913043478259</v>
      </c>
      <c r="H56" s="29"/>
      <c r="J56" s="35"/>
    </row>
    <row r="57" spans="1:10">
      <c r="A57" t="s">
        <v>1516</v>
      </c>
      <c r="C57">
        <v>19</v>
      </c>
      <c r="E57" s="29" t="s">
        <v>1516</v>
      </c>
      <c r="F57" s="35">
        <f t="shared" si="0"/>
        <v>0.20652173913043478</v>
      </c>
      <c r="H57" s="29" t="s">
        <v>2152</v>
      </c>
      <c r="I57">
        <v>2</v>
      </c>
      <c r="J57" s="35">
        <f t="shared" ref="J57:J64" si="1">I57/I$52</f>
        <v>0.10526315789473684</v>
      </c>
    </row>
    <row r="58" spans="1:10">
      <c r="A58" t="s">
        <v>1517</v>
      </c>
      <c r="C58">
        <v>2</v>
      </c>
      <c r="E58" s="29" t="s">
        <v>1517</v>
      </c>
      <c r="F58" s="35">
        <f t="shared" si="0"/>
        <v>2.1739130434782608E-2</v>
      </c>
      <c r="H58" s="29" t="s">
        <v>2153</v>
      </c>
      <c r="I58">
        <v>2</v>
      </c>
      <c r="J58" s="35">
        <f t="shared" si="1"/>
        <v>0.10526315789473684</v>
      </c>
    </row>
    <row r="59" spans="1:10">
      <c r="A59" t="s">
        <v>1518</v>
      </c>
      <c r="C59">
        <v>9</v>
      </c>
      <c r="E59" s="29" t="s">
        <v>1518</v>
      </c>
      <c r="F59" s="35">
        <f t="shared" si="0"/>
        <v>9.7826086956521743E-2</v>
      </c>
      <c r="H59" s="29" t="s">
        <v>1774</v>
      </c>
      <c r="I59">
        <v>2</v>
      </c>
      <c r="J59" s="35">
        <f t="shared" si="1"/>
        <v>0.10526315789473684</v>
      </c>
    </row>
    <row r="60" spans="1:10">
      <c r="A60" t="s">
        <v>1519</v>
      </c>
      <c r="C60">
        <v>3</v>
      </c>
      <c r="E60" s="29" t="s">
        <v>1519</v>
      </c>
      <c r="F60" s="35">
        <f t="shared" si="0"/>
        <v>3.2608695652173912E-2</v>
      </c>
      <c r="H60" s="29" t="s">
        <v>1775</v>
      </c>
      <c r="I60">
        <v>4</v>
      </c>
      <c r="J60" s="35">
        <f t="shared" si="1"/>
        <v>0.21052631578947367</v>
      </c>
    </row>
    <row r="61" spans="1:10">
      <c r="A61" t="s">
        <v>1520</v>
      </c>
      <c r="C61">
        <v>16</v>
      </c>
      <c r="E61" s="29" t="s">
        <v>1520</v>
      </c>
      <c r="F61" s="35">
        <f t="shared" si="0"/>
        <v>0.17391304347826086</v>
      </c>
      <c r="H61" s="29" t="s">
        <v>1776</v>
      </c>
      <c r="I61">
        <v>4</v>
      </c>
      <c r="J61" s="35">
        <f t="shared" si="1"/>
        <v>0.21052631578947367</v>
      </c>
    </row>
    <row r="62" spans="1:10">
      <c r="A62" t="s">
        <v>1522</v>
      </c>
      <c r="C62">
        <v>1</v>
      </c>
      <c r="E62" s="29" t="s">
        <v>1522</v>
      </c>
      <c r="F62" s="35">
        <f t="shared" si="0"/>
        <v>1.0869565217391304E-2</v>
      </c>
      <c r="H62" s="29" t="s">
        <v>1777</v>
      </c>
      <c r="I62">
        <v>5</v>
      </c>
      <c r="J62" s="35">
        <f t="shared" si="1"/>
        <v>0.26315789473684209</v>
      </c>
    </row>
    <row r="63" spans="1:10" ht="16" thickBot="1">
      <c r="A63" t="s">
        <v>1574</v>
      </c>
      <c r="C63">
        <v>14</v>
      </c>
      <c r="E63" s="31" t="s">
        <v>1574</v>
      </c>
      <c r="F63" s="36">
        <f t="shared" si="0"/>
        <v>0.15217391304347827</v>
      </c>
      <c r="H63" s="29" t="s">
        <v>1817</v>
      </c>
      <c r="I63">
        <v>0</v>
      </c>
      <c r="J63" s="35">
        <f t="shared" si="1"/>
        <v>0</v>
      </c>
    </row>
    <row r="64" spans="1:10" ht="16" thickBot="1">
      <c r="A64" t="s">
        <v>1523</v>
      </c>
      <c r="C64">
        <f>SUM(C55:C63)</f>
        <v>92</v>
      </c>
      <c r="F64" s="45"/>
      <c r="H64" s="31" t="s">
        <v>1861</v>
      </c>
      <c r="I64" s="62">
        <v>0</v>
      </c>
      <c r="J64" s="36">
        <f t="shared" si="1"/>
        <v>0</v>
      </c>
    </row>
    <row r="65" spans="1:10">
      <c r="E65" s="27" t="s">
        <v>1549</v>
      </c>
      <c r="F65" s="47"/>
      <c r="J65" s="45" t="s">
        <v>1486</v>
      </c>
    </row>
    <row r="66" spans="1:10" ht="16" thickBot="1">
      <c r="A66" t="s">
        <v>1525</v>
      </c>
      <c r="E66" s="29" t="s">
        <v>1526</v>
      </c>
      <c r="F66" s="35">
        <f>C67/C$77</f>
        <v>0.37755102040816324</v>
      </c>
    </row>
    <row r="67" spans="1:10">
      <c r="A67" t="s">
        <v>1526</v>
      </c>
      <c r="C67">
        <v>37</v>
      </c>
      <c r="E67" s="29" t="s">
        <v>1527</v>
      </c>
      <c r="F67" s="35">
        <f t="shared" ref="F67:F75" si="2">C68/C$77</f>
        <v>0.23469387755102042</v>
      </c>
      <c r="H67" s="27" t="s">
        <v>1518</v>
      </c>
      <c r="I67" s="61">
        <v>9</v>
      </c>
      <c r="J67" s="47"/>
    </row>
    <row r="68" spans="1:10">
      <c r="A68" t="s">
        <v>1527</v>
      </c>
      <c r="C68">
        <v>23</v>
      </c>
      <c r="E68" s="29" t="s">
        <v>1528</v>
      </c>
      <c r="F68" s="35">
        <f t="shared" si="2"/>
        <v>0.1326530612244898</v>
      </c>
      <c r="H68" s="29" t="s">
        <v>1797</v>
      </c>
      <c r="I68">
        <v>3</v>
      </c>
      <c r="J68" s="35">
        <f>I68/I$67</f>
        <v>0.33333333333333331</v>
      </c>
    </row>
    <row r="69" spans="1:10" ht="16" thickBot="1">
      <c r="A69" t="s">
        <v>1528</v>
      </c>
      <c r="C69">
        <v>13</v>
      </c>
      <c r="E69" s="29" t="s">
        <v>1529</v>
      </c>
      <c r="F69" s="35">
        <f t="shared" si="2"/>
        <v>5.1020408163265307E-2</v>
      </c>
      <c r="H69" s="31" t="s">
        <v>1798</v>
      </c>
      <c r="I69" s="62">
        <v>6</v>
      </c>
      <c r="J69" s="36">
        <f>I69/I$67</f>
        <v>0.66666666666666663</v>
      </c>
    </row>
    <row r="70" spans="1:10">
      <c r="A70" t="s">
        <v>1529</v>
      </c>
      <c r="C70">
        <v>5</v>
      </c>
      <c r="E70" s="29" t="s">
        <v>1530</v>
      </c>
      <c r="F70" s="35">
        <f t="shared" si="2"/>
        <v>0.10204081632653061</v>
      </c>
      <c r="J70" s="45" t="s">
        <v>1486</v>
      </c>
    </row>
    <row r="71" spans="1:10" ht="16" thickBot="1">
      <c r="A71" t="s">
        <v>1530</v>
      </c>
      <c r="C71">
        <v>10</v>
      </c>
      <c r="E71" s="29" t="s">
        <v>1531</v>
      </c>
      <c r="F71" s="35">
        <f t="shared" si="2"/>
        <v>2.0408163265306121E-2</v>
      </c>
      <c r="J71" s="45" t="s">
        <v>1486</v>
      </c>
    </row>
    <row r="72" spans="1:10">
      <c r="A72" t="s">
        <v>1531</v>
      </c>
      <c r="C72">
        <v>2</v>
      </c>
      <c r="E72" s="29" t="s">
        <v>1532</v>
      </c>
      <c r="F72" s="35">
        <f t="shared" si="2"/>
        <v>0</v>
      </c>
      <c r="H72" s="27" t="s">
        <v>1805</v>
      </c>
      <c r="I72" s="61">
        <v>3</v>
      </c>
      <c r="J72" s="47" t="s">
        <v>1486</v>
      </c>
    </row>
    <row r="73" spans="1:10">
      <c r="A73" t="s">
        <v>1532</v>
      </c>
      <c r="C73">
        <v>0</v>
      </c>
      <c r="E73" s="29" t="s">
        <v>1533</v>
      </c>
      <c r="F73" s="35">
        <f t="shared" si="2"/>
        <v>0</v>
      </c>
      <c r="H73" s="29" t="s">
        <v>1799</v>
      </c>
      <c r="I73">
        <v>1</v>
      </c>
      <c r="J73" s="35">
        <f t="shared" ref="J73:J78" si="3">I73/I$72</f>
        <v>0.33333333333333331</v>
      </c>
    </row>
    <row r="74" spans="1:10">
      <c r="A74" t="s">
        <v>1533</v>
      </c>
      <c r="C74">
        <v>0</v>
      </c>
      <c r="E74" s="29" t="s">
        <v>1534</v>
      </c>
      <c r="F74" s="35">
        <f t="shared" si="2"/>
        <v>2.0408163265306121E-2</v>
      </c>
      <c r="H74" s="29" t="s">
        <v>1800</v>
      </c>
      <c r="I74">
        <v>1</v>
      </c>
      <c r="J74" s="35">
        <f t="shared" si="3"/>
        <v>0.33333333333333331</v>
      </c>
    </row>
    <row r="75" spans="1:10" ht="16" thickBot="1">
      <c r="A75" t="s">
        <v>1534</v>
      </c>
      <c r="C75">
        <v>2</v>
      </c>
      <c r="E75" s="31" t="s">
        <v>1521</v>
      </c>
      <c r="F75" s="36">
        <f t="shared" si="2"/>
        <v>6.1224489795918366E-2</v>
      </c>
      <c r="H75" s="29" t="s">
        <v>1801</v>
      </c>
      <c r="I75">
        <v>0</v>
      </c>
      <c r="J75" s="35">
        <f t="shared" si="3"/>
        <v>0</v>
      </c>
    </row>
    <row r="76" spans="1:10" ht="16" thickBot="1">
      <c r="A76" t="s">
        <v>1521</v>
      </c>
      <c r="C76">
        <v>6</v>
      </c>
      <c r="F76" s="45"/>
      <c r="H76" s="29" t="s">
        <v>1802</v>
      </c>
      <c r="I76">
        <v>1</v>
      </c>
      <c r="J76" s="35">
        <f t="shared" si="3"/>
        <v>0.33333333333333331</v>
      </c>
    </row>
    <row r="77" spans="1:10">
      <c r="A77" t="s">
        <v>1536</v>
      </c>
      <c r="C77">
        <f>SUM(C67:C76)</f>
        <v>98</v>
      </c>
      <c r="E77" s="27" t="s">
        <v>1550</v>
      </c>
      <c r="F77" s="47"/>
      <c r="H77" s="29" t="s">
        <v>1803</v>
      </c>
      <c r="I77">
        <v>0</v>
      </c>
      <c r="J77" s="35">
        <f t="shared" si="3"/>
        <v>0</v>
      </c>
    </row>
    <row r="78" spans="1:10" ht="16" thickBot="1">
      <c r="E78" s="29" t="s">
        <v>1542</v>
      </c>
      <c r="F78" s="35">
        <f>C79/C$49</f>
        <v>0.87804878048780488</v>
      </c>
      <c r="H78" s="31" t="s">
        <v>1804</v>
      </c>
      <c r="I78" s="62">
        <v>0</v>
      </c>
      <c r="J78" s="36">
        <f t="shared" si="3"/>
        <v>0</v>
      </c>
    </row>
    <row r="79" spans="1:10" ht="16" thickBot="1">
      <c r="A79" t="s">
        <v>1537</v>
      </c>
      <c r="C79">
        <v>36</v>
      </c>
      <c r="E79" s="29" t="s">
        <v>1543</v>
      </c>
      <c r="F79" s="35">
        <f>C80/C$49</f>
        <v>9.7560975609756101E-2</v>
      </c>
      <c r="J79" s="45" t="s">
        <v>1486</v>
      </c>
    </row>
    <row r="80" spans="1:10" ht="16" thickBot="1">
      <c r="A80" t="s">
        <v>1538</v>
      </c>
      <c r="C80">
        <v>4</v>
      </c>
      <c r="E80" s="31" t="s">
        <v>1544</v>
      </c>
      <c r="F80" s="36">
        <f>C81/C$49</f>
        <v>7.3170731707317069E-2</v>
      </c>
      <c r="H80" s="27" t="s">
        <v>1806</v>
      </c>
      <c r="I80" s="61">
        <v>0</v>
      </c>
      <c r="J80" s="47" t="s">
        <v>1486</v>
      </c>
    </row>
    <row r="81" spans="1:10" ht="16" thickBot="1">
      <c r="A81" t="s">
        <v>1539</v>
      </c>
      <c r="C81">
        <v>3</v>
      </c>
      <c r="F81" s="45"/>
      <c r="H81" s="29" t="s">
        <v>1799</v>
      </c>
      <c r="I81">
        <v>0</v>
      </c>
      <c r="J81" s="35" t="e">
        <f t="shared" ref="J81:J86" si="4">I81/I$80</f>
        <v>#DIV/0!</v>
      </c>
    </row>
    <row r="82" spans="1:10">
      <c r="E82" s="27" t="s">
        <v>1547</v>
      </c>
      <c r="F82" s="47"/>
      <c r="H82" s="29" t="s">
        <v>1800</v>
      </c>
      <c r="I82">
        <v>0</v>
      </c>
      <c r="J82" s="35" t="e">
        <f t="shared" si="4"/>
        <v>#DIV/0!</v>
      </c>
    </row>
    <row r="83" spans="1:10">
      <c r="A83" t="s">
        <v>1547</v>
      </c>
      <c r="E83" s="29" t="s">
        <v>1596</v>
      </c>
      <c r="F83" s="35">
        <f>C84/C$49</f>
        <v>0.80487804878048785</v>
      </c>
      <c r="H83" s="29" t="s">
        <v>1801</v>
      </c>
      <c r="I83">
        <v>0</v>
      </c>
      <c r="J83" s="35" t="e">
        <f t="shared" si="4"/>
        <v>#DIV/0!</v>
      </c>
    </row>
    <row r="84" spans="1:10" ht="16" thickBot="1">
      <c r="A84" t="s">
        <v>1568</v>
      </c>
      <c r="C84">
        <v>33</v>
      </c>
      <c r="E84" s="31" t="s">
        <v>1457</v>
      </c>
      <c r="F84" s="36">
        <f>C85/C$49</f>
        <v>0.24390243902439024</v>
      </c>
      <c r="H84" s="29" t="s">
        <v>1802</v>
      </c>
      <c r="I84">
        <v>0</v>
      </c>
      <c r="J84" s="35" t="e">
        <f t="shared" si="4"/>
        <v>#DIV/0!</v>
      </c>
    </row>
    <row r="85" spans="1:10" ht="16" thickBot="1">
      <c r="A85" t="s">
        <v>1457</v>
      </c>
      <c r="C85">
        <v>10</v>
      </c>
      <c r="F85" s="48"/>
      <c r="H85" s="29" t="s">
        <v>1803</v>
      </c>
      <c r="I85">
        <v>0</v>
      </c>
      <c r="J85" s="35" t="e">
        <f t="shared" si="4"/>
        <v>#DIV/0!</v>
      </c>
    </row>
    <row r="86" spans="1:10" ht="16" thickBot="1">
      <c r="E86" s="27" t="s">
        <v>2429</v>
      </c>
      <c r="F86" s="47"/>
      <c r="H86" s="31" t="s">
        <v>1804</v>
      </c>
      <c r="I86" s="62">
        <v>0</v>
      </c>
      <c r="J86" s="36" t="e">
        <f t="shared" si="4"/>
        <v>#DIV/0!</v>
      </c>
    </row>
    <row r="87" spans="1:10">
      <c r="A87" t="s">
        <v>2429</v>
      </c>
      <c r="E87" s="29" t="s">
        <v>2430</v>
      </c>
      <c r="F87" s="35">
        <f>C88/C$85</f>
        <v>0.7</v>
      </c>
      <c r="J87" s="45" t="s">
        <v>1486</v>
      </c>
    </row>
    <row r="88" spans="1:10" ht="16" thickBot="1">
      <c r="A88" t="s">
        <v>2430</v>
      </c>
      <c r="C88">
        <v>7</v>
      </c>
      <c r="E88" s="31" t="s">
        <v>2431</v>
      </c>
      <c r="F88" s="36">
        <f>C89/C$85</f>
        <v>0.3</v>
      </c>
      <c r="J88" s="45" t="s">
        <v>1486</v>
      </c>
    </row>
    <row r="89" spans="1:10" ht="16" thickBot="1">
      <c r="A89" t="s">
        <v>2431</v>
      </c>
      <c r="C89">
        <v>3</v>
      </c>
      <c r="F89" s="45"/>
      <c r="H89" s="27" t="s">
        <v>1520</v>
      </c>
      <c r="I89" s="61">
        <v>16</v>
      </c>
      <c r="J89" s="47" t="s">
        <v>1486</v>
      </c>
    </row>
    <row r="90" spans="1:10">
      <c r="C90" t="s">
        <v>1486</v>
      </c>
      <c r="E90" s="27" t="s">
        <v>1597</v>
      </c>
      <c r="F90" s="47"/>
      <c r="H90" s="29" t="s">
        <v>1960</v>
      </c>
      <c r="I90">
        <v>1</v>
      </c>
      <c r="J90" s="35">
        <f>I90/I$89</f>
        <v>6.25E-2</v>
      </c>
    </row>
    <row r="91" spans="1:10">
      <c r="A91" t="s">
        <v>1598</v>
      </c>
      <c r="E91" s="29" t="s">
        <v>1569</v>
      </c>
      <c r="F91" s="35">
        <f t="shared" ref="F91:F96" si="5">C92/C$49</f>
        <v>0.75609756097560976</v>
      </c>
      <c r="H91" s="29" t="s">
        <v>1808</v>
      </c>
      <c r="I91">
        <v>4</v>
      </c>
      <c r="J91" s="35">
        <f>I91/I$89</f>
        <v>0.25</v>
      </c>
    </row>
    <row r="92" spans="1:10">
      <c r="A92" t="s">
        <v>1569</v>
      </c>
      <c r="C92">
        <v>31</v>
      </c>
      <c r="E92" s="29" t="s">
        <v>1571</v>
      </c>
      <c r="F92" s="35">
        <f t="shared" si="5"/>
        <v>2.4390243902439025E-2</v>
      </c>
      <c r="H92" s="29" t="s">
        <v>1809</v>
      </c>
      <c r="I92">
        <v>4</v>
      </c>
      <c r="J92" s="35">
        <f>I92/I$89</f>
        <v>0.25</v>
      </c>
    </row>
    <row r="93" spans="1:10">
      <c r="A93" t="s">
        <v>1571</v>
      </c>
      <c r="C93">
        <v>1</v>
      </c>
      <c r="E93" s="29" t="s">
        <v>1572</v>
      </c>
      <c r="F93" s="35">
        <f t="shared" si="5"/>
        <v>0</v>
      </c>
      <c r="H93" s="29" t="s">
        <v>1810</v>
      </c>
      <c r="I93">
        <v>1</v>
      </c>
      <c r="J93" s="35">
        <f>I93/I$89</f>
        <v>6.25E-2</v>
      </c>
    </row>
    <row r="94" spans="1:10" ht="16" thickBot="1">
      <c r="A94" t="s">
        <v>1572</v>
      </c>
      <c r="C94">
        <v>0</v>
      </c>
      <c r="E94" s="29" t="s">
        <v>1573</v>
      </c>
      <c r="F94" s="35">
        <f t="shared" si="5"/>
        <v>0</v>
      </c>
      <c r="H94" s="31" t="s">
        <v>1811</v>
      </c>
      <c r="I94" s="62">
        <v>6</v>
      </c>
      <c r="J94" s="36">
        <f>I94/I$89</f>
        <v>0.375</v>
      </c>
    </row>
    <row r="95" spans="1:10">
      <c r="A95" t="s">
        <v>1573</v>
      </c>
      <c r="C95">
        <v>0</v>
      </c>
      <c r="E95" s="29" t="s">
        <v>1570</v>
      </c>
      <c r="F95" s="35">
        <f t="shared" si="5"/>
        <v>0.24390243902439024</v>
      </c>
      <c r="J95" s="45" t="s">
        <v>1486</v>
      </c>
    </row>
    <row r="96" spans="1:10" ht="16" thickBot="1">
      <c r="A96" t="s">
        <v>1570</v>
      </c>
      <c r="C96">
        <v>10</v>
      </c>
      <c r="E96" s="31" t="s">
        <v>1574</v>
      </c>
      <c r="F96" s="36">
        <f t="shared" si="5"/>
        <v>2.4390243902439025E-2</v>
      </c>
      <c r="J96" s="45" t="s">
        <v>1486</v>
      </c>
    </row>
    <row r="97" spans="1:10" ht="16" thickBot="1">
      <c r="A97" t="s">
        <v>1574</v>
      </c>
      <c r="C97">
        <v>1</v>
      </c>
      <c r="F97" s="45"/>
      <c r="H97" s="27" t="s">
        <v>1574</v>
      </c>
      <c r="I97" s="61">
        <v>14</v>
      </c>
      <c r="J97" s="47" t="s">
        <v>1486</v>
      </c>
    </row>
    <row r="98" spans="1:10">
      <c r="E98" s="27" t="s">
        <v>1551</v>
      </c>
      <c r="F98" s="47"/>
      <c r="H98" s="29" t="s">
        <v>1812</v>
      </c>
      <c r="I98">
        <v>1</v>
      </c>
      <c r="J98" s="35">
        <f>I98/I$97</f>
        <v>7.1428571428571425E-2</v>
      </c>
    </row>
    <row r="99" spans="1:10">
      <c r="A99" t="s">
        <v>1540</v>
      </c>
      <c r="C99">
        <v>5</v>
      </c>
      <c r="E99" s="29" t="s">
        <v>1506</v>
      </c>
      <c r="F99" s="35">
        <f t="shared" ref="F99:F104" si="6">C100/C$49</f>
        <v>0.70731707317073167</v>
      </c>
      <c r="H99" s="29" t="s">
        <v>1813</v>
      </c>
      <c r="I99">
        <v>1</v>
      </c>
      <c r="J99" s="35">
        <f t="shared" ref="J99:J106" si="7">I99/I$97</f>
        <v>7.1428571428571425E-2</v>
      </c>
    </row>
    <row r="100" spans="1:10">
      <c r="A100" t="s">
        <v>1506</v>
      </c>
      <c r="C100">
        <v>29</v>
      </c>
      <c r="E100" s="29" t="s">
        <v>1503</v>
      </c>
      <c r="F100" s="35">
        <f t="shared" si="6"/>
        <v>0.21951219512195122</v>
      </c>
      <c r="H100" s="29" t="s">
        <v>1814</v>
      </c>
      <c r="I100">
        <v>0</v>
      </c>
      <c r="J100" s="35">
        <f t="shared" si="7"/>
        <v>0</v>
      </c>
    </row>
    <row r="101" spans="1:10">
      <c r="A101" t="s">
        <v>1503</v>
      </c>
      <c r="C101">
        <v>9</v>
      </c>
      <c r="E101" s="29" t="s">
        <v>1502</v>
      </c>
      <c r="F101" s="35">
        <f t="shared" si="6"/>
        <v>7.3170731707317069E-2</v>
      </c>
      <c r="H101" s="29" t="s">
        <v>1716</v>
      </c>
      <c r="I101">
        <v>0</v>
      </c>
      <c r="J101" s="35">
        <f t="shared" si="7"/>
        <v>0</v>
      </c>
    </row>
    <row r="102" spans="1:10">
      <c r="A102" t="s">
        <v>1502</v>
      </c>
      <c r="C102">
        <v>3</v>
      </c>
      <c r="E102" s="29" t="s">
        <v>1507</v>
      </c>
      <c r="F102" s="35">
        <f t="shared" si="6"/>
        <v>2.4390243902439025E-2</v>
      </c>
      <c r="H102" s="29" t="s">
        <v>1815</v>
      </c>
      <c r="I102">
        <v>6</v>
      </c>
      <c r="J102" s="35">
        <f t="shared" si="7"/>
        <v>0.42857142857142855</v>
      </c>
    </row>
    <row r="103" spans="1:10">
      <c r="A103" t="s">
        <v>1507</v>
      </c>
      <c r="C103">
        <v>1</v>
      </c>
      <c r="E103" s="29" t="s">
        <v>1505</v>
      </c>
      <c r="F103" s="35">
        <f t="shared" si="6"/>
        <v>0</v>
      </c>
      <c r="H103" s="29" t="s">
        <v>2154</v>
      </c>
      <c r="I103">
        <v>1</v>
      </c>
      <c r="J103" s="35">
        <f t="shared" si="7"/>
        <v>7.1428571428571425E-2</v>
      </c>
    </row>
    <row r="104" spans="1:10" ht="16" thickBot="1">
      <c r="A104" t="s">
        <v>1505</v>
      </c>
      <c r="C104">
        <v>0</v>
      </c>
      <c r="E104" s="31" t="s">
        <v>1504</v>
      </c>
      <c r="F104" s="36">
        <f t="shared" si="6"/>
        <v>2.4390243902439025E-2</v>
      </c>
      <c r="H104" s="29" t="s">
        <v>2155</v>
      </c>
      <c r="I104">
        <v>1</v>
      </c>
      <c r="J104" s="35">
        <f t="shared" si="7"/>
        <v>7.1428571428571425E-2</v>
      </c>
    </row>
    <row r="105" spans="1:10">
      <c r="A105" t="s">
        <v>1504</v>
      </c>
      <c r="C105">
        <v>1</v>
      </c>
      <c r="H105" s="29" t="s">
        <v>1961</v>
      </c>
      <c r="I105">
        <v>3</v>
      </c>
      <c r="J105" s="35">
        <f t="shared" si="7"/>
        <v>0.21428571428571427</v>
      </c>
    </row>
    <row r="106" spans="1:10" ht="16" thickBot="1">
      <c r="H106" s="31" t="s">
        <v>2156</v>
      </c>
      <c r="I106" s="62">
        <v>2</v>
      </c>
      <c r="J106" s="36">
        <f t="shared" si="7"/>
        <v>0.14285714285714285</v>
      </c>
    </row>
  </sheetData>
  <mergeCells count="1">
    <mergeCell ref="A45:F4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4"/>
  <sheetViews>
    <sheetView topLeftCell="A61" workbookViewId="0">
      <selection activeCell="F90" sqref="F90:F91"/>
    </sheetView>
  </sheetViews>
  <sheetFormatPr baseColWidth="10" defaultRowHeight="15"/>
  <cols>
    <col min="2" max="2" width="25.33203125" customWidth="1"/>
    <col min="6" max="6" width="11.5" customWidth="1"/>
    <col min="7" max="7" width="47.83203125" customWidth="1"/>
    <col min="8" max="8" width="36.1640625" customWidth="1"/>
    <col min="10" max="10" width="11.5" style="45"/>
  </cols>
  <sheetData>
    <row r="1" spans="1:8" ht="29.25" customHeight="1">
      <c r="A1" s="3" t="s">
        <v>2</v>
      </c>
      <c r="B1" s="4" t="s">
        <v>3</v>
      </c>
      <c r="C1" s="4" t="s">
        <v>5</v>
      </c>
      <c r="D1" s="4" t="s">
        <v>1508</v>
      </c>
      <c r="E1" s="4" t="s">
        <v>17</v>
      </c>
      <c r="F1" s="7" t="s">
        <v>7</v>
      </c>
      <c r="G1" s="5" t="s">
        <v>9</v>
      </c>
      <c r="H1" s="1" t="s">
        <v>10</v>
      </c>
    </row>
    <row r="2" spans="1:8">
      <c r="A2" s="6">
        <v>44531</v>
      </c>
      <c r="B2" t="s">
        <v>2158</v>
      </c>
      <c r="C2" t="s">
        <v>1506</v>
      </c>
      <c r="D2" t="s">
        <v>1509</v>
      </c>
      <c r="E2" t="s">
        <v>18</v>
      </c>
      <c r="F2" s="8">
        <v>1116.25</v>
      </c>
      <c r="G2" t="s">
        <v>2161</v>
      </c>
      <c r="H2" t="s">
        <v>2168</v>
      </c>
    </row>
    <row r="3" spans="1:8">
      <c r="A3" s="6">
        <v>40879</v>
      </c>
      <c r="B3" t="s">
        <v>2165</v>
      </c>
      <c r="C3" t="s">
        <v>1506</v>
      </c>
      <c r="D3" t="s">
        <v>1509</v>
      </c>
      <c r="E3" t="s">
        <v>18</v>
      </c>
      <c r="F3" s="8">
        <v>846</v>
      </c>
      <c r="G3" t="s">
        <v>68</v>
      </c>
      <c r="H3" t="s">
        <v>681</v>
      </c>
    </row>
    <row r="4" spans="1:8">
      <c r="A4" s="6">
        <v>44532</v>
      </c>
      <c r="B4" t="s">
        <v>2170</v>
      </c>
      <c r="C4" t="s">
        <v>1506</v>
      </c>
      <c r="D4" t="s">
        <v>1509</v>
      </c>
      <c r="E4" t="s">
        <v>18</v>
      </c>
      <c r="F4" s="8">
        <v>1273.5</v>
      </c>
      <c r="G4" t="s">
        <v>2173</v>
      </c>
      <c r="H4" t="s">
        <v>281</v>
      </c>
    </row>
    <row r="5" spans="1:8">
      <c r="A5" s="6">
        <v>44532</v>
      </c>
      <c r="B5" t="s">
        <v>2175</v>
      </c>
      <c r="C5" t="s">
        <v>1506</v>
      </c>
      <c r="D5" t="s">
        <v>1509</v>
      </c>
      <c r="E5" t="s">
        <v>18</v>
      </c>
      <c r="F5" s="8">
        <v>1111.5</v>
      </c>
      <c r="G5" t="s">
        <v>2178</v>
      </c>
      <c r="H5" t="s">
        <v>2188</v>
      </c>
    </row>
    <row r="6" spans="1:8">
      <c r="A6" s="6">
        <v>44536</v>
      </c>
      <c r="B6" t="s">
        <v>2184</v>
      </c>
      <c r="C6" t="s">
        <v>2135</v>
      </c>
      <c r="D6" t="s">
        <v>1509</v>
      </c>
      <c r="E6" t="s">
        <v>18</v>
      </c>
      <c r="F6" s="8">
        <v>1472.5</v>
      </c>
      <c r="G6" t="s">
        <v>2187</v>
      </c>
      <c r="H6" t="s">
        <v>2095</v>
      </c>
    </row>
    <row r="7" spans="1:8">
      <c r="A7" s="6">
        <v>44537</v>
      </c>
      <c r="B7" t="s">
        <v>2197</v>
      </c>
      <c r="C7" t="s">
        <v>1506</v>
      </c>
      <c r="D7" t="s">
        <v>1509</v>
      </c>
      <c r="E7" t="s">
        <v>18</v>
      </c>
      <c r="F7" s="8">
        <v>2537</v>
      </c>
      <c r="G7" t="s">
        <v>2200</v>
      </c>
      <c r="H7" t="s">
        <v>1443</v>
      </c>
    </row>
    <row r="8" spans="1:8">
      <c r="A8" s="6">
        <v>44538</v>
      </c>
      <c r="B8" t="s">
        <v>2205</v>
      </c>
      <c r="C8" t="s">
        <v>1506</v>
      </c>
      <c r="D8" t="s">
        <v>1509</v>
      </c>
      <c r="E8" t="s">
        <v>18</v>
      </c>
      <c r="F8" s="8">
        <v>1315</v>
      </c>
      <c r="G8" t="s">
        <v>2208</v>
      </c>
      <c r="H8" t="s">
        <v>698</v>
      </c>
    </row>
    <row r="9" spans="1:8">
      <c r="A9" s="6"/>
      <c r="B9" t="s">
        <v>2325</v>
      </c>
      <c r="C9" t="s">
        <v>1506</v>
      </c>
      <c r="D9" t="s">
        <v>1510</v>
      </c>
      <c r="E9" t="s">
        <v>1455</v>
      </c>
      <c r="F9" s="8">
        <v>3572.68</v>
      </c>
      <c r="G9" t="s">
        <v>2326</v>
      </c>
      <c r="H9" t="s">
        <v>1457</v>
      </c>
    </row>
    <row r="10" spans="1:8">
      <c r="A10" s="6">
        <v>44540</v>
      </c>
      <c r="B10" t="s">
        <v>2215</v>
      </c>
      <c r="C10" t="s">
        <v>1506</v>
      </c>
      <c r="D10" t="s">
        <v>1509</v>
      </c>
      <c r="E10" t="s">
        <v>18</v>
      </c>
      <c r="F10" s="8">
        <v>1590</v>
      </c>
      <c r="G10" t="s">
        <v>2218</v>
      </c>
      <c r="H10" t="s">
        <v>2224</v>
      </c>
    </row>
    <row r="11" spans="1:8">
      <c r="A11" s="6">
        <v>44540</v>
      </c>
      <c r="B11" t="s">
        <v>2220</v>
      </c>
      <c r="C11" t="s">
        <v>2136</v>
      </c>
      <c r="D11" t="s">
        <v>1509</v>
      </c>
      <c r="E11" t="s">
        <v>18</v>
      </c>
      <c r="F11" s="8">
        <v>2834.1</v>
      </c>
      <c r="G11" t="s">
        <v>2223</v>
      </c>
      <c r="H11" t="s">
        <v>2229</v>
      </c>
    </row>
    <row r="12" spans="1:8">
      <c r="A12" s="6">
        <v>44541</v>
      </c>
      <c r="B12" t="s">
        <v>2226</v>
      </c>
      <c r="C12" t="s">
        <v>2135</v>
      </c>
      <c r="D12" t="s">
        <v>1509</v>
      </c>
      <c r="E12" t="s">
        <v>18</v>
      </c>
      <c r="F12" s="8">
        <v>861</v>
      </c>
      <c r="G12" t="s">
        <v>1888</v>
      </c>
      <c r="H12" t="s">
        <v>2235</v>
      </c>
    </row>
    <row r="13" spans="1:8">
      <c r="A13" s="6">
        <v>44543</v>
      </c>
      <c r="B13" t="s">
        <v>2231</v>
      </c>
      <c r="C13" t="s">
        <v>1506</v>
      </c>
      <c r="D13" t="s">
        <v>1509</v>
      </c>
      <c r="E13" t="s">
        <v>18</v>
      </c>
      <c r="F13" s="8">
        <v>1843</v>
      </c>
      <c r="G13" t="s">
        <v>2234</v>
      </c>
      <c r="H13" t="s">
        <v>2241</v>
      </c>
    </row>
    <row r="14" spans="1:8">
      <c r="A14" s="6">
        <v>44543</v>
      </c>
      <c r="B14" t="s">
        <v>2237</v>
      </c>
      <c r="C14" t="s">
        <v>1506</v>
      </c>
      <c r="D14" t="s">
        <v>1509</v>
      </c>
      <c r="E14" t="s">
        <v>18</v>
      </c>
      <c r="F14" s="8">
        <v>1323.65</v>
      </c>
      <c r="G14" t="s">
        <v>2240</v>
      </c>
      <c r="H14" t="s">
        <v>2247</v>
      </c>
    </row>
    <row r="15" spans="1:8">
      <c r="A15" s="6">
        <v>44533</v>
      </c>
      <c r="B15" t="s">
        <v>2243</v>
      </c>
      <c r="C15" t="s">
        <v>1506</v>
      </c>
      <c r="D15" t="s">
        <v>1509</v>
      </c>
      <c r="E15" t="s">
        <v>18</v>
      </c>
      <c r="F15" s="8">
        <v>4339.28</v>
      </c>
      <c r="G15" t="s">
        <v>2246</v>
      </c>
      <c r="H15" t="s">
        <v>281</v>
      </c>
    </row>
    <row r="16" spans="1:8">
      <c r="A16" s="6">
        <v>44544</v>
      </c>
      <c r="B16" t="s">
        <v>2249</v>
      </c>
      <c r="C16" t="s">
        <v>1506</v>
      </c>
      <c r="D16" t="s">
        <v>1509</v>
      </c>
      <c r="E16" t="s">
        <v>18</v>
      </c>
      <c r="F16" s="8">
        <v>1865.8</v>
      </c>
      <c r="G16" t="s">
        <v>2252</v>
      </c>
      <c r="H16" t="s">
        <v>2257</v>
      </c>
    </row>
    <row r="17" spans="1:8">
      <c r="A17" s="6">
        <v>44544</v>
      </c>
      <c r="B17" t="s">
        <v>2253</v>
      </c>
      <c r="C17" t="s">
        <v>1506</v>
      </c>
      <c r="D17" t="s">
        <v>1509</v>
      </c>
      <c r="E17" t="s">
        <v>18</v>
      </c>
      <c r="F17" s="8">
        <v>1356.6</v>
      </c>
      <c r="G17" t="s">
        <v>2256</v>
      </c>
      <c r="H17" t="s">
        <v>281</v>
      </c>
    </row>
    <row r="18" spans="1:8">
      <c r="A18" s="6">
        <v>44534</v>
      </c>
      <c r="B18" t="s">
        <v>2265</v>
      </c>
      <c r="C18" t="s">
        <v>1506</v>
      </c>
      <c r="D18" t="s">
        <v>1509</v>
      </c>
      <c r="E18" t="s">
        <v>18</v>
      </c>
      <c r="F18" s="8">
        <v>1329.84</v>
      </c>
      <c r="G18" t="s">
        <v>2268</v>
      </c>
      <c r="H18" t="s">
        <v>403</v>
      </c>
    </row>
    <row r="19" spans="1:8">
      <c r="A19" s="6">
        <v>44545</v>
      </c>
      <c r="B19" t="s">
        <v>2270</v>
      </c>
      <c r="C19" t="s">
        <v>2135</v>
      </c>
      <c r="D19" t="s">
        <v>1509</v>
      </c>
      <c r="E19" t="s">
        <v>18</v>
      </c>
      <c r="F19" s="8">
        <v>1656</v>
      </c>
      <c r="G19" t="s">
        <v>2273</v>
      </c>
      <c r="H19" t="s">
        <v>2279</v>
      </c>
    </row>
    <row r="20" spans="1:8">
      <c r="A20" s="6">
        <v>44546</v>
      </c>
      <c r="B20" t="s">
        <v>2275</v>
      </c>
      <c r="C20" t="s">
        <v>2135</v>
      </c>
      <c r="D20" t="s">
        <v>1509</v>
      </c>
      <c r="E20" t="s">
        <v>18</v>
      </c>
      <c r="F20" s="8">
        <v>968</v>
      </c>
      <c r="G20" t="s">
        <v>2278</v>
      </c>
      <c r="H20" t="s">
        <v>403</v>
      </c>
    </row>
    <row r="21" spans="1:8">
      <c r="A21" s="6">
        <v>44546</v>
      </c>
      <c r="B21" t="s">
        <v>2281</v>
      </c>
      <c r="C21" t="s">
        <v>1506</v>
      </c>
      <c r="D21" t="s">
        <v>1509</v>
      </c>
      <c r="E21" t="s">
        <v>18</v>
      </c>
      <c r="F21" s="8">
        <v>1586.25</v>
      </c>
      <c r="G21" t="s">
        <v>2284</v>
      </c>
      <c r="H21" t="s">
        <v>2290</v>
      </c>
    </row>
    <row r="22" spans="1:8">
      <c r="A22" s="6">
        <v>44547</v>
      </c>
      <c r="B22" t="s">
        <v>2286</v>
      </c>
      <c r="C22" t="s">
        <v>2143</v>
      </c>
      <c r="D22" t="s">
        <v>1509</v>
      </c>
      <c r="E22" t="s">
        <v>18</v>
      </c>
      <c r="F22" s="8">
        <v>2402.1</v>
      </c>
      <c r="G22" t="s">
        <v>2289</v>
      </c>
      <c r="H22" t="s">
        <v>792</v>
      </c>
    </row>
    <row r="23" spans="1:8">
      <c r="A23" s="6">
        <v>44550</v>
      </c>
      <c r="B23" t="s">
        <v>2292</v>
      </c>
      <c r="C23" t="s">
        <v>1506</v>
      </c>
      <c r="D23" t="s">
        <v>1509</v>
      </c>
      <c r="E23" t="s">
        <v>18</v>
      </c>
      <c r="F23" s="8">
        <v>1322.4</v>
      </c>
      <c r="G23" t="s">
        <v>524</v>
      </c>
      <c r="H23" t="s">
        <v>2297</v>
      </c>
    </row>
    <row r="24" spans="1:8">
      <c r="A24" s="6"/>
      <c r="B24" t="s">
        <v>866</v>
      </c>
      <c r="C24" t="s">
        <v>1506</v>
      </c>
      <c r="D24" t="s">
        <v>1509</v>
      </c>
      <c r="E24" t="s">
        <v>1455</v>
      </c>
      <c r="F24" s="8">
        <v>817</v>
      </c>
      <c r="G24" t="s">
        <v>2327</v>
      </c>
      <c r="H24" t="s">
        <v>1457</v>
      </c>
    </row>
    <row r="25" spans="1:8">
      <c r="A25" s="6">
        <v>44536</v>
      </c>
      <c r="B25" t="s">
        <v>2299</v>
      </c>
      <c r="C25" t="s">
        <v>2135</v>
      </c>
      <c r="D25" t="s">
        <v>1509</v>
      </c>
      <c r="E25" t="s">
        <v>18</v>
      </c>
      <c r="F25" s="8">
        <v>1385.2</v>
      </c>
      <c r="G25" t="s">
        <v>2302</v>
      </c>
      <c r="H25" t="s">
        <v>698</v>
      </c>
    </row>
    <row r="26" spans="1:8">
      <c r="A26" s="6">
        <v>44551</v>
      </c>
      <c r="B26" t="s">
        <v>2304</v>
      </c>
      <c r="C26" t="s">
        <v>2135</v>
      </c>
      <c r="D26" t="s">
        <v>1509</v>
      </c>
      <c r="E26" t="s">
        <v>18</v>
      </c>
      <c r="F26" s="8">
        <v>1008.9</v>
      </c>
      <c r="G26" t="s">
        <v>2307</v>
      </c>
      <c r="H26" t="s">
        <v>2308</v>
      </c>
    </row>
    <row r="27" spans="1:8">
      <c r="A27" s="6">
        <v>44551</v>
      </c>
      <c r="B27" t="s">
        <v>2310</v>
      </c>
      <c r="C27" t="s">
        <v>2135</v>
      </c>
      <c r="D27" t="s">
        <v>1509</v>
      </c>
      <c r="E27" t="s">
        <v>18</v>
      </c>
      <c r="F27" s="8">
        <v>846</v>
      </c>
      <c r="G27" t="s">
        <v>708</v>
      </c>
      <c r="H27" t="s">
        <v>38</v>
      </c>
    </row>
    <row r="28" spans="1:8">
      <c r="A28" s="6">
        <v>44552</v>
      </c>
      <c r="B28" t="s">
        <v>2314</v>
      </c>
      <c r="C28" t="s">
        <v>1506</v>
      </c>
      <c r="D28" t="s">
        <v>1509</v>
      </c>
      <c r="E28" t="s">
        <v>18</v>
      </c>
      <c r="F28" s="8">
        <v>1451.6</v>
      </c>
      <c r="G28" t="s">
        <v>2317</v>
      </c>
      <c r="H28" t="s">
        <v>2335</v>
      </c>
    </row>
    <row r="29" spans="1:8">
      <c r="A29" s="6">
        <v>44552</v>
      </c>
      <c r="B29" t="s">
        <v>2319</v>
      </c>
      <c r="C29" t="s">
        <v>1506</v>
      </c>
      <c r="D29" t="s">
        <v>1509</v>
      </c>
      <c r="E29" t="s">
        <v>18</v>
      </c>
      <c r="F29" s="8">
        <v>1168.5</v>
      </c>
      <c r="G29" t="s">
        <v>2322</v>
      </c>
      <c r="H29" t="s">
        <v>323</v>
      </c>
    </row>
    <row r="30" spans="1:8">
      <c r="A30" s="6">
        <v>44553</v>
      </c>
      <c r="B30" t="s">
        <v>2329</v>
      </c>
      <c r="C30" t="s">
        <v>1506</v>
      </c>
      <c r="D30" t="s">
        <v>1509</v>
      </c>
      <c r="E30" t="s">
        <v>18</v>
      </c>
      <c r="F30" s="8">
        <v>2710.35</v>
      </c>
      <c r="G30" t="s">
        <v>2332</v>
      </c>
      <c r="H30" t="s">
        <v>268</v>
      </c>
    </row>
    <row r="31" spans="1:8">
      <c r="A31" s="6">
        <v>44543</v>
      </c>
      <c r="B31" t="s">
        <v>2337</v>
      </c>
      <c r="C31" t="s">
        <v>1506</v>
      </c>
      <c r="D31" t="s">
        <v>1509</v>
      </c>
      <c r="E31" t="s">
        <v>18</v>
      </c>
      <c r="F31" s="8">
        <v>1163.75</v>
      </c>
      <c r="G31" t="s">
        <v>2340</v>
      </c>
      <c r="H31" t="s">
        <v>1023</v>
      </c>
    </row>
    <row r="32" spans="1:8">
      <c r="A32" s="6">
        <v>44557</v>
      </c>
      <c r="B32" t="s">
        <v>2342</v>
      </c>
      <c r="C32" t="s">
        <v>1506</v>
      </c>
      <c r="D32" t="s">
        <v>1510</v>
      </c>
      <c r="E32" t="s">
        <v>18</v>
      </c>
      <c r="F32" s="8">
        <v>2076.4</v>
      </c>
      <c r="G32" t="s">
        <v>2345</v>
      </c>
      <c r="H32" t="s">
        <v>323</v>
      </c>
    </row>
    <row r="33" spans="1:8">
      <c r="A33" s="6">
        <v>44557</v>
      </c>
      <c r="B33" t="s">
        <v>2348</v>
      </c>
      <c r="C33" t="s">
        <v>2135</v>
      </c>
      <c r="D33" t="s">
        <v>1509</v>
      </c>
      <c r="E33" t="s">
        <v>18</v>
      </c>
      <c r="F33" s="8">
        <v>1097.25</v>
      </c>
      <c r="G33" t="s">
        <v>2352</v>
      </c>
      <c r="H33" t="s">
        <v>2377</v>
      </c>
    </row>
    <row r="34" spans="1:8">
      <c r="A34" s="6"/>
      <c r="B34" t="s">
        <v>2348</v>
      </c>
      <c r="C34" t="s">
        <v>2135</v>
      </c>
      <c r="D34" t="s">
        <v>1509</v>
      </c>
      <c r="E34" t="s">
        <v>1455</v>
      </c>
      <c r="F34" s="8">
        <v>928</v>
      </c>
      <c r="G34" t="s">
        <v>2351</v>
      </c>
      <c r="H34" t="s">
        <v>2377</v>
      </c>
    </row>
    <row r="35" spans="1:8">
      <c r="A35" s="6">
        <v>44558</v>
      </c>
      <c r="B35" t="s">
        <v>2354</v>
      </c>
      <c r="C35" t="s">
        <v>1506</v>
      </c>
      <c r="D35" t="s">
        <v>1509</v>
      </c>
      <c r="E35" t="s">
        <v>18</v>
      </c>
      <c r="F35" s="8">
        <v>3608</v>
      </c>
      <c r="G35" t="s">
        <v>2357</v>
      </c>
      <c r="H35" t="s">
        <v>2363</v>
      </c>
    </row>
    <row r="36" spans="1:8">
      <c r="A36" s="6">
        <v>44558</v>
      </c>
      <c r="B36" t="s">
        <v>2359</v>
      </c>
      <c r="C36" t="s">
        <v>1506</v>
      </c>
      <c r="D36" t="s">
        <v>1509</v>
      </c>
      <c r="E36" t="s">
        <v>18</v>
      </c>
      <c r="F36" s="8">
        <v>901</v>
      </c>
      <c r="G36" t="s">
        <v>2362</v>
      </c>
      <c r="H36" t="s">
        <v>323</v>
      </c>
    </row>
    <row r="37" spans="1:8">
      <c r="A37" s="6" t="s">
        <v>1486</v>
      </c>
      <c r="B37" t="s">
        <v>2253</v>
      </c>
      <c r="C37" t="s">
        <v>1506</v>
      </c>
      <c r="D37" t="s">
        <v>1509</v>
      </c>
      <c r="E37" t="s">
        <v>1455</v>
      </c>
      <c r="F37" s="8">
        <v>986</v>
      </c>
      <c r="G37" s="8" t="s">
        <v>2366</v>
      </c>
      <c r="H37" s="8" t="s">
        <v>1457</v>
      </c>
    </row>
    <row r="38" spans="1:8">
      <c r="A38" s="6">
        <v>44548</v>
      </c>
      <c r="B38" t="s">
        <v>2368</v>
      </c>
      <c r="C38" t="s">
        <v>1506</v>
      </c>
      <c r="D38" t="s">
        <v>1509</v>
      </c>
      <c r="E38" t="s">
        <v>18</v>
      </c>
      <c r="F38" s="52">
        <v>3123.28</v>
      </c>
      <c r="G38" t="s">
        <v>2371</v>
      </c>
      <c r="H38" t="s">
        <v>1928</v>
      </c>
    </row>
    <row r="39" spans="1:8">
      <c r="A39" s="6">
        <v>44559</v>
      </c>
      <c r="B39" t="s">
        <v>2373</v>
      </c>
      <c r="C39" t="s">
        <v>1506</v>
      </c>
      <c r="D39" t="s">
        <v>1509</v>
      </c>
      <c r="E39" t="s">
        <v>18</v>
      </c>
      <c r="F39" s="52">
        <v>1546.6</v>
      </c>
      <c r="G39" t="s">
        <v>2376</v>
      </c>
      <c r="H39" t="s">
        <v>2383</v>
      </c>
    </row>
    <row r="40" spans="1:8">
      <c r="A40" s="6">
        <v>44560</v>
      </c>
      <c r="B40" t="s">
        <v>2379</v>
      </c>
      <c r="C40" t="s">
        <v>2135</v>
      </c>
      <c r="D40" t="s">
        <v>1509</v>
      </c>
      <c r="E40" t="s">
        <v>18</v>
      </c>
      <c r="F40" s="52">
        <v>1011.75</v>
      </c>
      <c r="G40" t="s">
        <v>2382</v>
      </c>
      <c r="H40" t="s">
        <v>323</v>
      </c>
    </row>
    <row r="41" spans="1:8">
      <c r="A41" s="6">
        <v>44560</v>
      </c>
      <c r="B41" t="s">
        <v>2385</v>
      </c>
      <c r="C41" t="s">
        <v>1506</v>
      </c>
      <c r="D41" t="s">
        <v>1509</v>
      </c>
      <c r="E41" t="s">
        <v>18</v>
      </c>
      <c r="F41" s="52">
        <v>2271.6</v>
      </c>
      <c r="G41" t="s">
        <v>2388</v>
      </c>
      <c r="H41" t="s">
        <v>403</v>
      </c>
    </row>
    <row r="42" spans="1:8">
      <c r="A42" s="6">
        <v>44560</v>
      </c>
      <c r="B42" t="s">
        <v>2391</v>
      </c>
      <c r="C42" t="s">
        <v>1506</v>
      </c>
      <c r="D42" t="s">
        <v>1509</v>
      </c>
      <c r="E42" t="s">
        <v>18</v>
      </c>
      <c r="F42" s="52">
        <v>1345.5</v>
      </c>
      <c r="G42" s="8" t="s">
        <v>2394</v>
      </c>
      <c r="H42" s="8" t="s">
        <v>403</v>
      </c>
    </row>
    <row r="43" spans="1:8">
      <c r="A43" s="6">
        <v>44543</v>
      </c>
      <c r="B43" t="s">
        <v>2397</v>
      </c>
      <c r="C43" t="s">
        <v>1506</v>
      </c>
      <c r="D43" t="s">
        <v>1509</v>
      </c>
      <c r="E43" t="s">
        <v>18</v>
      </c>
      <c r="F43" s="52">
        <v>1231</v>
      </c>
      <c r="G43" s="8" t="s">
        <v>1579</v>
      </c>
      <c r="H43" s="8" t="s">
        <v>268</v>
      </c>
    </row>
    <row r="44" spans="1:8">
      <c r="A44" s="6"/>
      <c r="B44" t="s">
        <v>2402</v>
      </c>
      <c r="C44" t="s">
        <v>1506</v>
      </c>
      <c r="D44" t="s">
        <v>1510</v>
      </c>
      <c r="E44" t="s">
        <v>1455</v>
      </c>
      <c r="F44" s="52">
        <v>475.02</v>
      </c>
      <c r="G44" s="8" t="s">
        <v>2403</v>
      </c>
      <c r="H44" s="8" t="s">
        <v>1457</v>
      </c>
    </row>
    <row r="45" spans="1:8">
      <c r="A45" s="6"/>
      <c r="B45" t="s">
        <v>2324</v>
      </c>
      <c r="C45" t="s">
        <v>2135</v>
      </c>
      <c r="D45" t="s">
        <v>1509</v>
      </c>
      <c r="E45" t="s">
        <v>1455</v>
      </c>
      <c r="F45" s="8">
        <v>1395</v>
      </c>
      <c r="G45" t="s">
        <v>2323</v>
      </c>
      <c r="H45" t="s">
        <v>1457</v>
      </c>
    </row>
    <row r="48" spans="1:8" ht="16" thickBot="1">
      <c r="A48" s="106" t="s">
        <v>1541</v>
      </c>
      <c r="B48" s="106"/>
      <c r="C48" s="106"/>
      <c r="D48" s="106"/>
      <c r="E48" s="106"/>
      <c r="F48" s="106"/>
      <c r="G48" s="106"/>
    </row>
    <row r="49" spans="1:10">
      <c r="A49" t="s">
        <v>1513</v>
      </c>
      <c r="C49" s="8">
        <f>SUM(F2:F45)</f>
        <v>71070.149999999994</v>
      </c>
      <c r="E49" s="27" t="s">
        <v>1546</v>
      </c>
      <c r="F49" s="28"/>
      <c r="H49" s="27" t="s">
        <v>1515</v>
      </c>
      <c r="I49" s="61">
        <v>17</v>
      </c>
      <c r="J49" s="47"/>
    </row>
    <row r="50" spans="1:10">
      <c r="E50" s="29" t="s">
        <v>1552</v>
      </c>
      <c r="F50" s="50">
        <v>69675.149999999994</v>
      </c>
      <c r="H50" s="29" t="s">
        <v>1768</v>
      </c>
      <c r="I50">
        <v>2</v>
      </c>
      <c r="J50" s="35">
        <f>I50/I$49</f>
        <v>0.11764705882352941</v>
      </c>
    </row>
    <row r="51" spans="1:10" ht="16" thickBot="1">
      <c r="A51" t="s">
        <v>1545</v>
      </c>
      <c r="C51">
        <v>24</v>
      </c>
      <c r="E51" s="31" t="s">
        <v>1553</v>
      </c>
      <c r="F51" s="51">
        <f>C49/C51</f>
        <v>2961.2562499999999</v>
      </c>
      <c r="H51" s="29" t="s">
        <v>1769</v>
      </c>
      <c r="I51">
        <v>14</v>
      </c>
      <c r="J51" s="35">
        <f>I51/I$49</f>
        <v>0.82352941176470584</v>
      </c>
    </row>
    <row r="52" spans="1:10" ht="16" thickBot="1">
      <c r="A52" t="s">
        <v>1535</v>
      </c>
      <c r="C52">
        <v>44</v>
      </c>
      <c r="H52" s="31" t="s">
        <v>1770</v>
      </c>
      <c r="I52" s="62">
        <v>1</v>
      </c>
      <c r="J52" s="36">
        <f>I52/I$49</f>
        <v>5.8823529411764705E-2</v>
      </c>
    </row>
    <row r="53" spans="1:10">
      <c r="D53" t="s">
        <v>1486</v>
      </c>
      <c r="E53" s="27" t="s">
        <v>1547</v>
      </c>
      <c r="F53" s="28"/>
    </row>
    <row r="54" spans="1:10" ht="16" thickBot="1">
      <c r="A54" t="s">
        <v>1511</v>
      </c>
      <c r="C54">
        <v>41</v>
      </c>
      <c r="D54" t="s">
        <v>1486</v>
      </c>
      <c r="E54" s="29" t="s">
        <v>1509</v>
      </c>
      <c r="F54" s="35">
        <f>C54/C$52</f>
        <v>0.93181818181818177</v>
      </c>
    </row>
    <row r="55" spans="1:10" ht="16" thickBot="1">
      <c r="A55" t="s">
        <v>1512</v>
      </c>
      <c r="C55">
        <v>3</v>
      </c>
      <c r="E55" s="31" t="s">
        <v>1510</v>
      </c>
      <c r="F55" s="36">
        <f>C55/C$52</f>
        <v>6.8181818181818177E-2</v>
      </c>
      <c r="H55" s="27" t="s">
        <v>1807</v>
      </c>
      <c r="I55" s="61">
        <v>38</v>
      </c>
      <c r="J55" s="47"/>
    </row>
    <row r="56" spans="1:10" ht="16" thickBot="1">
      <c r="H56" s="29" t="s">
        <v>1771</v>
      </c>
      <c r="I56">
        <v>23</v>
      </c>
      <c r="J56" s="35">
        <f>I56/I$55</f>
        <v>0.60526315789473684</v>
      </c>
    </row>
    <row r="57" spans="1:10">
      <c r="A57" t="s">
        <v>1524</v>
      </c>
      <c r="E57" s="27" t="s">
        <v>1548</v>
      </c>
      <c r="F57" s="28"/>
      <c r="H57" s="29" t="s">
        <v>1772</v>
      </c>
      <c r="I57">
        <v>12</v>
      </c>
      <c r="J57" s="35">
        <f>I57/I$55</f>
        <v>0.31578947368421051</v>
      </c>
    </row>
    <row r="58" spans="1:10">
      <c r="A58" t="s">
        <v>1514</v>
      </c>
      <c r="C58">
        <v>4</v>
      </c>
      <c r="E58" s="29" t="s">
        <v>1514</v>
      </c>
      <c r="F58" s="35">
        <f>C58/C$67</f>
        <v>4.2553191489361701E-2</v>
      </c>
      <c r="H58" s="29" t="s">
        <v>1773</v>
      </c>
      <c r="I58">
        <v>3</v>
      </c>
      <c r="J58" s="35">
        <f>I58/I$55</f>
        <v>7.8947368421052627E-2</v>
      </c>
    </row>
    <row r="59" spans="1:10">
      <c r="A59" t="s">
        <v>1515</v>
      </c>
      <c r="C59">
        <v>17</v>
      </c>
      <c r="E59" s="29" t="s">
        <v>1515</v>
      </c>
      <c r="F59" s="35">
        <f t="shared" ref="F59:F66" si="0">C59/C$67</f>
        <v>0.18085106382978725</v>
      </c>
      <c r="H59" s="29"/>
      <c r="J59" s="35"/>
    </row>
    <row r="60" spans="1:10">
      <c r="A60" t="s">
        <v>1516</v>
      </c>
      <c r="C60">
        <v>38</v>
      </c>
      <c r="E60" s="29" t="s">
        <v>1516</v>
      </c>
      <c r="F60" s="35">
        <f>C60/C$67</f>
        <v>0.40425531914893614</v>
      </c>
      <c r="H60" s="29" t="s">
        <v>1818</v>
      </c>
      <c r="I60">
        <v>3</v>
      </c>
      <c r="J60" s="35">
        <f t="shared" ref="J60:J71" si="1">I60/I$55</f>
        <v>7.8947368421052627E-2</v>
      </c>
    </row>
    <row r="61" spans="1:10">
      <c r="A61" t="s">
        <v>1517</v>
      </c>
      <c r="C61">
        <v>0</v>
      </c>
      <c r="E61" s="29" t="s">
        <v>1517</v>
      </c>
      <c r="F61" s="35">
        <f t="shared" si="0"/>
        <v>0</v>
      </c>
      <c r="H61" s="29" t="s">
        <v>1819</v>
      </c>
      <c r="I61">
        <v>3</v>
      </c>
      <c r="J61" s="35">
        <f t="shared" si="1"/>
        <v>7.8947368421052627E-2</v>
      </c>
    </row>
    <row r="62" spans="1:10">
      <c r="A62" t="s">
        <v>1518</v>
      </c>
      <c r="C62">
        <v>14</v>
      </c>
      <c r="E62" s="29" t="s">
        <v>1518</v>
      </c>
      <c r="F62" s="35">
        <f t="shared" si="0"/>
        <v>0.14893617021276595</v>
      </c>
      <c r="H62" s="29" t="s">
        <v>1892</v>
      </c>
      <c r="I62">
        <v>4</v>
      </c>
      <c r="J62" s="35">
        <f t="shared" si="1"/>
        <v>0.10526315789473684</v>
      </c>
    </row>
    <row r="63" spans="1:10">
      <c r="A63" t="s">
        <v>1519</v>
      </c>
      <c r="C63">
        <v>2</v>
      </c>
      <c r="E63" s="29" t="s">
        <v>1519</v>
      </c>
      <c r="F63" s="35">
        <f t="shared" si="0"/>
        <v>2.1276595744680851E-2</v>
      </c>
      <c r="H63" s="29" t="s">
        <v>1893</v>
      </c>
      <c r="I63">
        <v>4</v>
      </c>
      <c r="J63" s="35">
        <f t="shared" si="1"/>
        <v>0.10526315789473684</v>
      </c>
    </row>
    <row r="64" spans="1:10">
      <c r="A64" t="s">
        <v>1520</v>
      </c>
      <c r="C64">
        <v>8</v>
      </c>
      <c r="E64" s="29" t="s">
        <v>1520</v>
      </c>
      <c r="F64" s="35">
        <f t="shared" si="0"/>
        <v>8.5106382978723402E-2</v>
      </c>
      <c r="H64" s="29" t="s">
        <v>1894</v>
      </c>
      <c r="I64">
        <v>8</v>
      </c>
      <c r="J64" s="35">
        <f t="shared" si="1"/>
        <v>0.21052631578947367</v>
      </c>
    </row>
    <row r="65" spans="1:10">
      <c r="A65" t="s">
        <v>1522</v>
      </c>
      <c r="C65">
        <v>1</v>
      </c>
      <c r="E65" s="29" t="s">
        <v>1522</v>
      </c>
      <c r="F65" s="35">
        <f t="shared" si="0"/>
        <v>1.0638297872340425E-2</v>
      </c>
      <c r="H65" s="29" t="s">
        <v>1895</v>
      </c>
      <c r="I65">
        <v>13</v>
      </c>
      <c r="J65" s="35">
        <f t="shared" si="1"/>
        <v>0.34210526315789475</v>
      </c>
    </row>
    <row r="66" spans="1:10" ht="16" thickBot="1">
      <c r="A66" t="s">
        <v>1574</v>
      </c>
      <c r="C66">
        <v>10</v>
      </c>
      <c r="E66" s="31" t="s">
        <v>1574</v>
      </c>
      <c r="F66" s="36">
        <f t="shared" si="0"/>
        <v>0.10638297872340426</v>
      </c>
      <c r="H66" s="29" t="s">
        <v>1817</v>
      </c>
      <c r="I66">
        <v>1</v>
      </c>
      <c r="J66" s="35">
        <f t="shared" si="1"/>
        <v>2.6315789473684209E-2</v>
      </c>
    </row>
    <row r="67" spans="1:10" ht="16" thickBot="1">
      <c r="A67" t="s">
        <v>1523</v>
      </c>
      <c r="C67">
        <f>SUM(C58:C66)</f>
        <v>94</v>
      </c>
      <c r="H67" s="29" t="s">
        <v>1861</v>
      </c>
      <c r="I67">
        <v>1</v>
      </c>
      <c r="J67" s="35">
        <f t="shared" si="1"/>
        <v>2.6315789473684209E-2</v>
      </c>
    </row>
    <row r="68" spans="1:10">
      <c r="E68" s="27" t="s">
        <v>1549</v>
      </c>
      <c r="F68" s="28"/>
      <c r="H68" s="29" t="s">
        <v>1899</v>
      </c>
      <c r="I68">
        <v>0</v>
      </c>
      <c r="J68" s="35">
        <f t="shared" si="1"/>
        <v>0</v>
      </c>
    </row>
    <row r="69" spans="1:10">
      <c r="A69" t="s">
        <v>1525</v>
      </c>
      <c r="E69" s="29" t="s">
        <v>1526</v>
      </c>
      <c r="F69" s="35">
        <f>C70/C$80</f>
        <v>0.44117647058823528</v>
      </c>
      <c r="H69" s="29" t="s">
        <v>1921</v>
      </c>
      <c r="I69">
        <v>0</v>
      </c>
      <c r="J69" s="35">
        <f t="shared" si="1"/>
        <v>0</v>
      </c>
    </row>
    <row r="70" spans="1:10">
      <c r="A70" t="s">
        <v>1526</v>
      </c>
      <c r="C70">
        <v>45</v>
      </c>
      <c r="E70" s="29" t="s">
        <v>1527</v>
      </c>
      <c r="F70" s="35">
        <f t="shared" ref="F70:F78" si="2">C71/C$80</f>
        <v>7.8431372549019607E-2</v>
      </c>
      <c r="H70" s="29" t="s">
        <v>2389</v>
      </c>
      <c r="I70">
        <v>0</v>
      </c>
      <c r="J70" s="35">
        <f t="shared" si="1"/>
        <v>0</v>
      </c>
    </row>
    <row r="71" spans="1:10" ht="16" thickBot="1">
      <c r="A71" t="s">
        <v>1527</v>
      </c>
      <c r="C71">
        <v>8</v>
      </c>
      <c r="E71" s="29" t="s">
        <v>1528</v>
      </c>
      <c r="F71" s="35">
        <f t="shared" si="2"/>
        <v>0.13725490196078433</v>
      </c>
      <c r="H71" s="31" t="s">
        <v>1896</v>
      </c>
      <c r="I71" s="62">
        <v>1</v>
      </c>
      <c r="J71" s="36">
        <f t="shared" si="1"/>
        <v>2.6315789473684209E-2</v>
      </c>
    </row>
    <row r="72" spans="1:10">
      <c r="A72" t="s">
        <v>1528</v>
      </c>
      <c r="C72">
        <v>14</v>
      </c>
      <c r="E72" s="29" t="s">
        <v>1529</v>
      </c>
      <c r="F72" s="35">
        <f t="shared" si="2"/>
        <v>0.12745098039215685</v>
      </c>
    </row>
    <row r="73" spans="1:10" ht="16" thickBot="1">
      <c r="A73" t="s">
        <v>1529</v>
      </c>
      <c r="C73">
        <v>13</v>
      </c>
      <c r="E73" s="29" t="s">
        <v>1530</v>
      </c>
      <c r="F73" s="35">
        <f t="shared" si="2"/>
        <v>0.15686274509803921</v>
      </c>
    </row>
    <row r="74" spans="1:10">
      <c r="A74" t="s">
        <v>1530</v>
      </c>
      <c r="C74">
        <v>16</v>
      </c>
      <c r="E74" s="29" t="s">
        <v>1531</v>
      </c>
      <c r="F74" s="35">
        <f t="shared" si="2"/>
        <v>0</v>
      </c>
      <c r="H74" s="27" t="s">
        <v>1518</v>
      </c>
      <c r="I74" s="61">
        <v>14</v>
      </c>
      <c r="J74" s="47"/>
    </row>
    <row r="75" spans="1:10">
      <c r="A75" t="s">
        <v>1531</v>
      </c>
      <c r="C75">
        <v>0</v>
      </c>
      <c r="E75" s="29" t="s">
        <v>1532</v>
      </c>
      <c r="F75" s="35">
        <f t="shared" si="2"/>
        <v>0</v>
      </c>
      <c r="H75" s="29" t="s">
        <v>1797</v>
      </c>
      <c r="I75">
        <v>3</v>
      </c>
      <c r="J75" s="35">
        <f>I75/I$74</f>
        <v>0.21428571428571427</v>
      </c>
    </row>
    <row r="76" spans="1:10" ht="16" thickBot="1">
      <c r="A76" t="s">
        <v>1532</v>
      </c>
      <c r="C76">
        <v>0</v>
      </c>
      <c r="E76" s="29" t="s">
        <v>1533</v>
      </c>
      <c r="F76" s="35">
        <f t="shared" si="2"/>
        <v>0</v>
      </c>
      <c r="H76" s="31" t="s">
        <v>1798</v>
      </c>
      <c r="I76" s="62">
        <v>11</v>
      </c>
      <c r="J76" s="36">
        <f>I76/I$74</f>
        <v>0.7857142857142857</v>
      </c>
    </row>
    <row r="77" spans="1:10">
      <c r="A77" t="s">
        <v>1533</v>
      </c>
      <c r="C77">
        <v>0</v>
      </c>
      <c r="E77" s="29" t="s">
        <v>1534</v>
      </c>
      <c r="F77" s="35">
        <f t="shared" si="2"/>
        <v>0</v>
      </c>
    </row>
    <row r="78" spans="1:10" ht="16" thickBot="1">
      <c r="A78" t="s">
        <v>1534</v>
      </c>
      <c r="C78">
        <v>0</v>
      </c>
      <c r="E78" s="31" t="s">
        <v>1521</v>
      </c>
      <c r="F78" s="36">
        <f t="shared" si="2"/>
        <v>5.8823529411764705E-2</v>
      </c>
    </row>
    <row r="79" spans="1:10" ht="16" thickBot="1">
      <c r="A79" t="s">
        <v>1521</v>
      </c>
      <c r="C79">
        <v>6</v>
      </c>
      <c r="H79" s="27" t="s">
        <v>1805</v>
      </c>
      <c r="I79" s="61">
        <v>2</v>
      </c>
      <c r="J79" s="47"/>
    </row>
    <row r="80" spans="1:10">
      <c r="A80" t="s">
        <v>1536</v>
      </c>
      <c r="C80">
        <f>SUM(C70:C79)</f>
        <v>102</v>
      </c>
      <c r="E80" s="27" t="s">
        <v>1550</v>
      </c>
      <c r="F80" s="28"/>
      <c r="H80" s="29" t="s">
        <v>1799</v>
      </c>
      <c r="I80">
        <v>1</v>
      </c>
      <c r="J80" s="35">
        <f t="shared" ref="J80:J85" si="3">I80/I$79</f>
        <v>0.5</v>
      </c>
    </row>
    <row r="81" spans="1:10">
      <c r="E81" s="29" t="s">
        <v>1542</v>
      </c>
      <c r="F81" s="35">
        <f>C82/C$52</f>
        <v>0.75</v>
      </c>
      <c r="H81" s="29" t="s">
        <v>1800</v>
      </c>
      <c r="I81">
        <v>0</v>
      </c>
      <c r="J81" s="35">
        <f t="shared" si="3"/>
        <v>0</v>
      </c>
    </row>
    <row r="82" spans="1:10">
      <c r="A82" t="s">
        <v>1537</v>
      </c>
      <c r="C82">
        <v>33</v>
      </c>
      <c r="E82" s="29" t="s">
        <v>1543</v>
      </c>
      <c r="F82" s="35">
        <f>C83/C$52</f>
        <v>0.11363636363636363</v>
      </c>
      <c r="H82" s="29" t="s">
        <v>1801</v>
      </c>
      <c r="I82">
        <v>0</v>
      </c>
      <c r="J82" s="35">
        <f t="shared" si="3"/>
        <v>0</v>
      </c>
    </row>
    <row r="83" spans="1:10" ht="16" thickBot="1">
      <c r="A83" t="s">
        <v>1538</v>
      </c>
      <c r="C83">
        <v>5</v>
      </c>
      <c r="E83" s="31" t="s">
        <v>1544</v>
      </c>
      <c r="F83" s="36">
        <f>C84/C$52</f>
        <v>0.13636363636363635</v>
      </c>
      <c r="H83" s="29" t="s">
        <v>1802</v>
      </c>
      <c r="I83">
        <v>1</v>
      </c>
      <c r="J83" s="35">
        <f t="shared" si="3"/>
        <v>0.5</v>
      </c>
    </row>
    <row r="84" spans="1:10" ht="16" thickBot="1">
      <c r="A84" t="s">
        <v>1539</v>
      </c>
      <c r="C84">
        <v>6</v>
      </c>
      <c r="F84" s="45"/>
      <c r="H84" s="29" t="s">
        <v>1803</v>
      </c>
      <c r="I84">
        <v>0</v>
      </c>
      <c r="J84" s="35">
        <f t="shared" si="3"/>
        <v>0</v>
      </c>
    </row>
    <row r="85" spans="1:10" ht="16" thickBot="1">
      <c r="E85" s="27" t="s">
        <v>1547</v>
      </c>
      <c r="F85" s="47"/>
      <c r="H85" s="31" t="s">
        <v>1804</v>
      </c>
      <c r="I85" s="62">
        <v>0</v>
      </c>
      <c r="J85" s="36">
        <f t="shared" si="3"/>
        <v>0</v>
      </c>
    </row>
    <row r="86" spans="1:10" ht="16" thickBot="1">
      <c r="A86" t="s">
        <v>1547</v>
      </c>
      <c r="E86" s="29" t="s">
        <v>1596</v>
      </c>
      <c r="F86" s="35">
        <f>C87/C$52</f>
        <v>0.84090909090909094</v>
      </c>
    </row>
    <row r="87" spans="1:10" ht="16" thickBot="1">
      <c r="A87" t="s">
        <v>1568</v>
      </c>
      <c r="C87">
        <v>37</v>
      </c>
      <c r="E87" s="31" t="s">
        <v>1457</v>
      </c>
      <c r="F87" s="36">
        <f>C88/C$52</f>
        <v>0.13636363636363635</v>
      </c>
      <c r="H87" s="27" t="s">
        <v>1806</v>
      </c>
      <c r="I87" s="61">
        <v>0</v>
      </c>
      <c r="J87" s="47"/>
    </row>
    <row r="88" spans="1:10" ht="16" thickBot="1">
      <c r="A88" t="s">
        <v>1457</v>
      </c>
      <c r="C88">
        <v>6</v>
      </c>
      <c r="F88" s="48"/>
      <c r="H88" s="29" t="s">
        <v>1799</v>
      </c>
      <c r="I88">
        <v>0</v>
      </c>
      <c r="J88" s="35" t="e">
        <f t="shared" ref="J88:J93" si="4">I88/I$87</f>
        <v>#DIV/0!</v>
      </c>
    </row>
    <row r="89" spans="1:10">
      <c r="E89" s="27" t="s">
        <v>2429</v>
      </c>
      <c r="F89" s="47"/>
      <c r="H89" s="29" t="s">
        <v>1800</v>
      </c>
      <c r="I89">
        <v>0</v>
      </c>
      <c r="J89" s="35" t="e">
        <f t="shared" si="4"/>
        <v>#DIV/0!</v>
      </c>
    </row>
    <row r="90" spans="1:10">
      <c r="A90" t="s">
        <v>2429</v>
      </c>
      <c r="E90" s="29" t="s">
        <v>2430</v>
      </c>
      <c r="F90" s="35">
        <f>C91/C$88</f>
        <v>1</v>
      </c>
      <c r="H90" s="29" t="s">
        <v>1801</v>
      </c>
      <c r="I90">
        <v>0</v>
      </c>
      <c r="J90" s="35" t="e">
        <f t="shared" si="4"/>
        <v>#DIV/0!</v>
      </c>
    </row>
    <row r="91" spans="1:10" ht="16" thickBot="1">
      <c r="A91" t="s">
        <v>2430</v>
      </c>
      <c r="C91">
        <v>6</v>
      </c>
      <c r="E91" s="31" t="s">
        <v>2431</v>
      </c>
      <c r="F91" s="36">
        <f>C92/C$88</f>
        <v>0</v>
      </c>
      <c r="H91" s="29" t="s">
        <v>1802</v>
      </c>
      <c r="I91">
        <v>0</v>
      </c>
      <c r="J91" s="35" t="e">
        <f t="shared" si="4"/>
        <v>#DIV/0!</v>
      </c>
    </row>
    <row r="92" spans="1:10" ht="16" thickBot="1">
      <c r="A92" t="s">
        <v>2431</v>
      </c>
      <c r="C92">
        <v>0</v>
      </c>
      <c r="F92" s="45"/>
      <c r="H92" s="29" t="s">
        <v>1803</v>
      </c>
      <c r="I92">
        <v>0</v>
      </c>
      <c r="J92" s="35" t="e">
        <f t="shared" si="4"/>
        <v>#DIV/0!</v>
      </c>
    </row>
    <row r="93" spans="1:10" ht="16" thickBot="1">
      <c r="C93" t="s">
        <v>1486</v>
      </c>
      <c r="E93" s="27" t="s">
        <v>1597</v>
      </c>
      <c r="F93" s="47"/>
      <c r="H93" s="31" t="s">
        <v>1804</v>
      </c>
      <c r="I93" s="62">
        <v>0</v>
      </c>
      <c r="J93" s="36" t="e">
        <f t="shared" si="4"/>
        <v>#DIV/0!</v>
      </c>
    </row>
    <row r="94" spans="1:10">
      <c r="A94" t="s">
        <v>1598</v>
      </c>
      <c r="E94" s="29" t="s">
        <v>1569</v>
      </c>
      <c r="F94" s="35">
        <f t="shared" ref="F94:F99" si="5">C95/C$52</f>
        <v>0.86363636363636365</v>
      </c>
    </row>
    <row r="95" spans="1:10" ht="16" thickBot="1">
      <c r="A95" t="s">
        <v>1569</v>
      </c>
      <c r="C95">
        <v>38</v>
      </c>
      <c r="E95" s="29" t="s">
        <v>1571</v>
      </c>
      <c r="F95" s="35">
        <f t="shared" si="5"/>
        <v>0</v>
      </c>
    </row>
    <row r="96" spans="1:10">
      <c r="A96" t="s">
        <v>1571</v>
      </c>
      <c r="C96">
        <v>0</v>
      </c>
      <c r="E96" s="29" t="s">
        <v>1572</v>
      </c>
      <c r="F96" s="35">
        <f t="shared" si="5"/>
        <v>0</v>
      </c>
      <c r="H96" s="27" t="s">
        <v>1520</v>
      </c>
      <c r="I96" s="61">
        <v>8</v>
      </c>
      <c r="J96" s="47"/>
    </row>
    <row r="97" spans="1:10">
      <c r="A97" t="s">
        <v>1572</v>
      </c>
      <c r="C97">
        <v>0</v>
      </c>
      <c r="E97" s="29" t="s">
        <v>1573</v>
      </c>
      <c r="F97" s="35">
        <f t="shared" si="5"/>
        <v>0</v>
      </c>
      <c r="H97" s="29" t="s">
        <v>1960</v>
      </c>
      <c r="I97">
        <v>0</v>
      </c>
      <c r="J97" s="35">
        <f>I97/I$96</f>
        <v>0</v>
      </c>
    </row>
    <row r="98" spans="1:10">
      <c r="A98" t="s">
        <v>1573</v>
      </c>
      <c r="C98">
        <v>0</v>
      </c>
      <c r="E98" s="29" t="s">
        <v>1570</v>
      </c>
      <c r="F98" s="35">
        <f t="shared" si="5"/>
        <v>0.13636363636363635</v>
      </c>
      <c r="H98" s="29" t="s">
        <v>1808</v>
      </c>
      <c r="I98">
        <v>2</v>
      </c>
      <c r="J98" s="35">
        <f>I98/I$96</f>
        <v>0.25</v>
      </c>
    </row>
    <row r="99" spans="1:10" ht="16" thickBot="1">
      <c r="A99" t="s">
        <v>1570</v>
      </c>
      <c r="C99">
        <v>6</v>
      </c>
      <c r="E99" s="31" t="s">
        <v>1574</v>
      </c>
      <c r="F99" s="36">
        <f t="shared" si="5"/>
        <v>0</v>
      </c>
      <c r="H99" s="29" t="s">
        <v>1809</v>
      </c>
      <c r="I99">
        <v>3</v>
      </c>
      <c r="J99" s="35">
        <f>I99/I$96</f>
        <v>0.375</v>
      </c>
    </row>
    <row r="100" spans="1:10" ht="16" thickBot="1">
      <c r="A100" t="s">
        <v>1574</v>
      </c>
      <c r="C100">
        <v>0</v>
      </c>
      <c r="F100" s="45"/>
      <c r="H100" s="29" t="s">
        <v>1810</v>
      </c>
      <c r="I100">
        <v>2</v>
      </c>
      <c r="J100" s="35">
        <f>I100/I$96</f>
        <v>0.25</v>
      </c>
    </row>
    <row r="101" spans="1:10" ht="16" thickBot="1">
      <c r="E101" s="27" t="s">
        <v>1551</v>
      </c>
      <c r="F101" s="47"/>
      <c r="H101" s="31" t="s">
        <v>1811</v>
      </c>
      <c r="I101" s="62">
        <v>1</v>
      </c>
      <c r="J101" s="36">
        <f>I101/I$96</f>
        <v>0.125</v>
      </c>
    </row>
    <row r="102" spans="1:10">
      <c r="A102" t="s">
        <v>1540</v>
      </c>
      <c r="C102">
        <v>3</v>
      </c>
      <c r="E102" s="29" t="s">
        <v>1506</v>
      </c>
      <c r="F102" s="35">
        <f t="shared" ref="F102:F107" si="6">C103/C$52</f>
        <v>0.70454545454545459</v>
      </c>
    </row>
    <row r="103" spans="1:10" ht="16" thickBot="1">
      <c r="A103" t="s">
        <v>1506</v>
      </c>
      <c r="C103">
        <v>31</v>
      </c>
      <c r="E103" s="29" t="s">
        <v>1503</v>
      </c>
      <c r="F103" s="35">
        <f t="shared" si="6"/>
        <v>0.25</v>
      </c>
    </row>
    <row r="104" spans="1:10">
      <c r="A104" t="s">
        <v>1503</v>
      </c>
      <c r="C104">
        <v>11</v>
      </c>
      <c r="E104" s="29" t="s">
        <v>1502</v>
      </c>
      <c r="F104" s="35">
        <f t="shared" si="6"/>
        <v>2.2727272727272728E-2</v>
      </c>
      <c r="H104" s="27" t="s">
        <v>1574</v>
      </c>
      <c r="I104" s="61">
        <v>11</v>
      </c>
      <c r="J104" s="47"/>
    </row>
    <row r="105" spans="1:10">
      <c r="A105" t="s">
        <v>1502</v>
      </c>
      <c r="C105">
        <v>1</v>
      </c>
      <c r="E105" s="29" t="s">
        <v>1507</v>
      </c>
      <c r="F105" s="35">
        <f t="shared" si="6"/>
        <v>2.2727272727272728E-2</v>
      </c>
      <c r="H105" s="39" t="s">
        <v>1812</v>
      </c>
      <c r="I105">
        <v>1</v>
      </c>
      <c r="J105" s="35">
        <f>I105/I$104</f>
        <v>9.0909090909090912E-2</v>
      </c>
    </row>
    <row r="106" spans="1:10">
      <c r="A106" t="s">
        <v>1507</v>
      </c>
      <c r="C106">
        <v>1</v>
      </c>
      <c r="E106" s="29" t="s">
        <v>1505</v>
      </c>
      <c r="F106" s="35">
        <f t="shared" si="6"/>
        <v>0</v>
      </c>
      <c r="H106" s="39" t="s">
        <v>1813</v>
      </c>
      <c r="I106">
        <v>0</v>
      </c>
      <c r="J106" s="35">
        <f t="shared" ref="J106:J114" si="7">I106/I$104</f>
        <v>0</v>
      </c>
    </row>
    <row r="107" spans="1:10" ht="16" thickBot="1">
      <c r="A107" t="s">
        <v>1505</v>
      </c>
      <c r="C107">
        <v>0</v>
      </c>
      <c r="E107" s="31" t="s">
        <v>1504</v>
      </c>
      <c r="F107" s="36">
        <f t="shared" si="6"/>
        <v>0</v>
      </c>
      <c r="H107" s="39" t="s">
        <v>1814</v>
      </c>
      <c r="I107">
        <v>1</v>
      </c>
      <c r="J107" s="35">
        <f t="shared" si="7"/>
        <v>9.0909090909090912E-2</v>
      </c>
    </row>
    <row r="108" spans="1:10">
      <c r="A108" t="s">
        <v>1504</v>
      </c>
      <c r="C108">
        <v>0</v>
      </c>
      <c r="H108" s="39" t="s">
        <v>1716</v>
      </c>
      <c r="I108">
        <v>0</v>
      </c>
      <c r="J108" s="35">
        <f t="shared" si="7"/>
        <v>0</v>
      </c>
    </row>
    <row r="109" spans="1:10">
      <c r="H109" s="39" t="s">
        <v>1815</v>
      </c>
      <c r="I109">
        <v>5</v>
      </c>
      <c r="J109" s="35">
        <f t="shared" si="7"/>
        <v>0.45454545454545453</v>
      </c>
    </row>
    <row r="110" spans="1:10">
      <c r="H110" s="39" t="s">
        <v>1820</v>
      </c>
      <c r="I110">
        <v>1</v>
      </c>
      <c r="J110" s="35">
        <f t="shared" si="7"/>
        <v>9.0909090909090912E-2</v>
      </c>
    </row>
    <row r="111" spans="1:10">
      <c r="H111" s="39" t="s">
        <v>1961</v>
      </c>
      <c r="I111">
        <v>0</v>
      </c>
      <c r="J111" s="35">
        <f t="shared" si="7"/>
        <v>0</v>
      </c>
    </row>
    <row r="112" spans="1:10">
      <c r="H112" s="39" t="s">
        <v>1859</v>
      </c>
      <c r="I112">
        <v>1</v>
      </c>
      <c r="J112" s="35">
        <f t="shared" si="7"/>
        <v>9.0909090909090912E-2</v>
      </c>
    </row>
    <row r="113" spans="8:10">
      <c r="H113" s="39" t="s">
        <v>1920</v>
      </c>
      <c r="I113">
        <v>1</v>
      </c>
      <c r="J113" s="35">
        <f t="shared" si="7"/>
        <v>9.0909090909090912E-2</v>
      </c>
    </row>
    <row r="114" spans="8:10" ht="16" thickBot="1">
      <c r="H114" s="40" t="s">
        <v>1922</v>
      </c>
      <c r="I114" s="62">
        <v>0</v>
      </c>
      <c r="J114" s="36">
        <f t="shared" si="7"/>
        <v>0</v>
      </c>
    </row>
  </sheetData>
  <mergeCells count="1">
    <mergeCell ref="A48:G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2"/>
  <sheetViews>
    <sheetView workbookViewId="0">
      <selection activeCell="D17" sqref="D17"/>
    </sheetView>
  </sheetViews>
  <sheetFormatPr baseColWidth="10" defaultRowHeight="15"/>
  <cols>
    <col min="2" max="4" width="14.5" style="52" customWidth="1"/>
    <col min="5" max="5" width="12.33203125" style="52" customWidth="1"/>
    <col min="6" max="6" width="15.83203125" style="52" customWidth="1"/>
    <col min="7" max="7" width="12.33203125" style="60" customWidth="1"/>
    <col min="8" max="9" width="12.6640625" style="45" customWidth="1"/>
    <col min="10" max="10" width="7.5" style="45" customWidth="1"/>
    <col min="11" max="11" width="23.83203125" style="45" customWidth="1"/>
    <col min="12" max="12" width="5.33203125" style="45" customWidth="1"/>
    <col min="13" max="14" width="11.5" style="45"/>
  </cols>
  <sheetData>
    <row r="1" spans="1:14">
      <c r="A1" s="53" t="s">
        <v>1742</v>
      </c>
      <c r="B1" s="63" t="s">
        <v>1994</v>
      </c>
      <c r="C1" s="54" t="s">
        <v>1995</v>
      </c>
      <c r="D1" s="78" t="s">
        <v>2032</v>
      </c>
      <c r="E1" s="54" t="s">
        <v>1737</v>
      </c>
      <c r="F1" s="54" t="s">
        <v>1757</v>
      </c>
      <c r="G1" s="58" t="s">
        <v>1756</v>
      </c>
      <c r="H1" s="56" t="s">
        <v>1738</v>
      </c>
      <c r="I1" s="56" t="s">
        <v>1550</v>
      </c>
      <c r="J1" s="56" t="s">
        <v>1739</v>
      </c>
      <c r="K1" s="107" t="s">
        <v>1740</v>
      </c>
      <c r="L1" s="108"/>
      <c r="M1" s="109" t="s">
        <v>1741</v>
      </c>
      <c r="N1" s="109"/>
    </row>
    <row r="2" spans="1:14">
      <c r="A2" s="53" t="s">
        <v>1743</v>
      </c>
      <c r="B2" s="55">
        <v>16045.92</v>
      </c>
      <c r="C2" s="55">
        <v>22625</v>
      </c>
      <c r="D2" s="64">
        <f>B2-C2</f>
        <v>-6579.08</v>
      </c>
      <c r="E2" s="55">
        <v>729.67818181818177</v>
      </c>
      <c r="F2" s="55">
        <f>B2/G2</f>
        <v>1604.5920000000001</v>
      </c>
      <c r="G2" s="59">
        <v>10</v>
      </c>
      <c r="H2" s="57">
        <v>1</v>
      </c>
      <c r="I2" s="57">
        <v>1</v>
      </c>
      <c r="J2" s="57">
        <v>0</v>
      </c>
      <c r="K2" s="57" t="s">
        <v>1760</v>
      </c>
      <c r="L2" s="57">
        <v>0.21</v>
      </c>
      <c r="M2" s="57" t="s">
        <v>1763</v>
      </c>
      <c r="N2" s="57">
        <v>0.24</v>
      </c>
    </row>
    <row r="3" spans="1:14">
      <c r="A3" s="53" t="s">
        <v>1744</v>
      </c>
      <c r="B3" s="55">
        <v>38352.899999999994</v>
      </c>
      <c r="C3" s="55">
        <v>19149.82</v>
      </c>
      <c r="D3" s="55">
        <f t="shared" ref="D3:D17" si="0">B3-C3</f>
        <v>19203.079999999994</v>
      </c>
      <c r="E3" s="55">
        <v>1667.5173913043475</v>
      </c>
      <c r="F3" s="55">
        <f t="shared" ref="F3:F13" si="1">B3/G3</f>
        <v>1917.6449999999998</v>
      </c>
      <c r="G3" s="59">
        <v>20</v>
      </c>
      <c r="H3" s="57">
        <v>0.95</v>
      </c>
      <c r="I3" s="57">
        <v>0.8</v>
      </c>
      <c r="J3" s="57">
        <v>0.15</v>
      </c>
      <c r="K3" s="57" t="s">
        <v>1520</v>
      </c>
      <c r="L3" s="57">
        <v>0.24</v>
      </c>
      <c r="M3" s="57" t="s">
        <v>1763</v>
      </c>
      <c r="N3" s="57">
        <v>0.55000000000000004</v>
      </c>
    </row>
    <row r="4" spans="1:14">
      <c r="A4" s="53" t="s">
        <v>1745</v>
      </c>
      <c r="B4" s="55">
        <v>21324.57</v>
      </c>
      <c r="C4" s="55">
        <v>23822.070000000003</v>
      </c>
      <c r="D4" s="64">
        <f t="shared" si="0"/>
        <v>-2497.5000000000036</v>
      </c>
      <c r="E4" s="55">
        <v>820.92153846153838</v>
      </c>
      <c r="F4" s="55">
        <f t="shared" si="1"/>
        <v>1523.1835714285714</v>
      </c>
      <c r="G4" s="59">
        <v>14</v>
      </c>
      <c r="H4" s="57">
        <v>0.93</v>
      </c>
      <c r="I4" s="57">
        <v>0.64</v>
      </c>
      <c r="J4" s="57">
        <v>7.0000000000000007E-2</v>
      </c>
      <c r="K4" s="57" t="s">
        <v>1761</v>
      </c>
      <c r="L4" s="57">
        <v>0.18</v>
      </c>
      <c r="M4" s="57" t="s">
        <v>1764</v>
      </c>
      <c r="N4" s="57">
        <v>0.39</v>
      </c>
    </row>
    <row r="5" spans="1:14">
      <c r="A5" s="53" t="s">
        <v>1746</v>
      </c>
      <c r="B5" s="52">
        <v>47754.239999999998</v>
      </c>
      <c r="C5" s="55">
        <v>26660.109999999997</v>
      </c>
      <c r="D5" s="52">
        <f t="shared" si="0"/>
        <v>21094.13</v>
      </c>
      <c r="E5" s="55">
        <v>2061.0113043478259</v>
      </c>
      <c r="F5" s="55">
        <f t="shared" si="1"/>
        <v>1404.5364705882353</v>
      </c>
      <c r="G5" s="59">
        <v>34</v>
      </c>
      <c r="H5" s="57">
        <v>0.94</v>
      </c>
      <c r="I5" s="57">
        <v>0.71</v>
      </c>
      <c r="J5" s="57">
        <v>0.09</v>
      </c>
      <c r="K5" s="57" t="s">
        <v>1516</v>
      </c>
      <c r="L5" s="57">
        <v>0.56000000000000005</v>
      </c>
      <c r="M5" s="57" t="s">
        <v>1764</v>
      </c>
      <c r="N5" s="57">
        <v>0.35</v>
      </c>
    </row>
    <row r="6" spans="1:14">
      <c r="A6" s="53" t="s">
        <v>1747</v>
      </c>
      <c r="B6" s="55">
        <v>57403.159999999996</v>
      </c>
      <c r="C6" s="55">
        <v>27252.6</v>
      </c>
      <c r="D6" s="55">
        <f t="shared" si="0"/>
        <v>30150.559999999998</v>
      </c>
      <c r="E6" s="55">
        <v>2454.8441666666672</v>
      </c>
      <c r="F6" s="55">
        <f t="shared" si="1"/>
        <v>1435.079</v>
      </c>
      <c r="G6" s="59">
        <v>40</v>
      </c>
      <c r="H6" s="57">
        <v>0.88</v>
      </c>
      <c r="I6" s="57">
        <v>0.57999999999999996</v>
      </c>
      <c r="J6" s="57">
        <v>0.1</v>
      </c>
      <c r="K6" s="57" t="s">
        <v>1516</v>
      </c>
      <c r="L6" s="57">
        <v>0.32</v>
      </c>
      <c r="M6" s="57" t="s">
        <v>1764</v>
      </c>
      <c r="N6" s="57">
        <v>0.3</v>
      </c>
    </row>
    <row r="7" spans="1:14">
      <c r="A7" s="53" t="s">
        <v>1748</v>
      </c>
      <c r="B7" s="55">
        <v>60623.219999999994</v>
      </c>
      <c r="C7" s="55">
        <v>35092.65</v>
      </c>
      <c r="D7" s="55">
        <f t="shared" si="0"/>
        <v>25530.569999999992</v>
      </c>
      <c r="E7" s="55">
        <v>2525.9674999999997</v>
      </c>
      <c r="F7" s="55">
        <f t="shared" si="1"/>
        <v>1347.1826666666666</v>
      </c>
      <c r="G7" s="59">
        <v>45</v>
      </c>
      <c r="H7" s="57">
        <v>0.91</v>
      </c>
      <c r="I7" s="57">
        <v>0.57999999999999996</v>
      </c>
      <c r="J7" s="57">
        <v>0.11</v>
      </c>
      <c r="K7" s="57" t="s">
        <v>1516</v>
      </c>
      <c r="L7" s="57">
        <v>0.32</v>
      </c>
      <c r="M7" s="57" t="s">
        <v>1764</v>
      </c>
      <c r="N7" s="57">
        <v>0.44</v>
      </c>
    </row>
    <row r="8" spans="1:14">
      <c r="A8" s="53" t="s">
        <v>1749</v>
      </c>
      <c r="B8" s="55">
        <v>58659.83</v>
      </c>
      <c r="C8" s="55">
        <v>38998.899999999994</v>
      </c>
      <c r="D8" s="55">
        <f t="shared" si="0"/>
        <v>19660.930000000008</v>
      </c>
      <c r="E8" s="55">
        <v>2444.1595833333336</v>
      </c>
      <c r="F8" s="55">
        <f t="shared" si="1"/>
        <v>1222.0797916666668</v>
      </c>
      <c r="G8" s="59">
        <v>48</v>
      </c>
      <c r="H8" s="57">
        <v>0.94</v>
      </c>
      <c r="I8" s="57">
        <v>0.56000000000000005</v>
      </c>
      <c r="J8" s="57">
        <v>0.13</v>
      </c>
      <c r="K8" s="57" t="s">
        <v>1516</v>
      </c>
      <c r="L8" s="57">
        <v>0.3</v>
      </c>
      <c r="M8" s="57" t="s">
        <v>1764</v>
      </c>
      <c r="N8" s="57">
        <v>0.31</v>
      </c>
    </row>
    <row r="9" spans="1:14">
      <c r="A9" s="53" t="s">
        <v>1750</v>
      </c>
      <c r="B9" s="55">
        <v>78720.869999999981</v>
      </c>
      <c r="C9" s="55">
        <v>34075.47</v>
      </c>
      <c r="D9" s="55">
        <f t="shared" si="0"/>
        <v>44645.39999999998</v>
      </c>
      <c r="E9" s="55">
        <v>3011.9903846153848</v>
      </c>
      <c r="F9" s="55">
        <f t="shared" si="1"/>
        <v>1606.5483673469384</v>
      </c>
      <c r="G9" s="59">
        <v>49</v>
      </c>
      <c r="H9" s="57">
        <v>0.88</v>
      </c>
      <c r="I9" s="57">
        <v>0.71</v>
      </c>
      <c r="J9" s="57">
        <v>0.12</v>
      </c>
      <c r="K9" s="57" t="s">
        <v>1762</v>
      </c>
      <c r="L9" s="57">
        <v>0.28000000000000003</v>
      </c>
      <c r="M9" s="57" t="s">
        <v>1764</v>
      </c>
      <c r="N9" s="57">
        <v>0.39</v>
      </c>
    </row>
    <row r="10" spans="1:14">
      <c r="A10" s="53" t="s">
        <v>1751</v>
      </c>
      <c r="B10" s="55">
        <v>54824.939999999995</v>
      </c>
      <c r="C10" s="55">
        <v>33959.75</v>
      </c>
      <c r="D10" s="55">
        <f t="shared" si="0"/>
        <v>20865.189999999995</v>
      </c>
      <c r="E10" s="55">
        <v>2271.5724999999998</v>
      </c>
      <c r="F10" s="55">
        <f t="shared" si="1"/>
        <v>1370.6234999999999</v>
      </c>
      <c r="G10" s="59">
        <v>40</v>
      </c>
      <c r="H10" s="57">
        <v>0.95</v>
      </c>
      <c r="I10" s="57">
        <v>0.53</v>
      </c>
      <c r="J10" s="57">
        <v>0.15</v>
      </c>
      <c r="K10" s="57" t="s">
        <v>1516</v>
      </c>
      <c r="L10" s="57">
        <v>0.28999999999999998</v>
      </c>
      <c r="M10" s="57" t="s">
        <v>1765</v>
      </c>
      <c r="N10" s="57">
        <v>0.28000000000000003</v>
      </c>
    </row>
    <row r="11" spans="1:14">
      <c r="A11" s="53" t="s">
        <v>1752</v>
      </c>
      <c r="B11" s="55">
        <v>79860.99000000002</v>
      </c>
      <c r="C11" s="55">
        <v>40538.929999999993</v>
      </c>
      <c r="D11" s="55">
        <f t="shared" si="0"/>
        <v>39322.060000000027</v>
      </c>
      <c r="E11" s="55">
        <v>3067.9226923076931</v>
      </c>
      <c r="F11" s="55">
        <f>B11/G11</f>
        <v>1736.10847826087</v>
      </c>
      <c r="G11" s="59">
        <v>46</v>
      </c>
      <c r="H11" s="57">
        <v>0.89</v>
      </c>
      <c r="I11" s="57">
        <v>0.74</v>
      </c>
      <c r="J11" s="57">
        <v>0.22</v>
      </c>
      <c r="K11" s="57" t="s">
        <v>1516</v>
      </c>
      <c r="L11" s="57">
        <v>0.28999999999999998</v>
      </c>
      <c r="M11" s="57" t="s">
        <v>1764</v>
      </c>
      <c r="N11" s="57">
        <v>0.48</v>
      </c>
    </row>
    <row r="12" spans="1:14">
      <c r="A12" s="53" t="s">
        <v>1753</v>
      </c>
      <c r="B12" s="55">
        <v>59564.959999999992</v>
      </c>
      <c r="C12" s="55">
        <v>40728.620000000003</v>
      </c>
      <c r="D12" s="55">
        <f t="shared" si="0"/>
        <v>18836.339999999989</v>
      </c>
      <c r="E12" s="55">
        <v>2382.5983999999999</v>
      </c>
      <c r="F12" s="55">
        <f t="shared" si="1"/>
        <v>1452.8039024390241</v>
      </c>
      <c r="G12" s="59">
        <v>41</v>
      </c>
      <c r="H12" s="57">
        <v>0.95</v>
      </c>
      <c r="I12" s="57">
        <v>0.88</v>
      </c>
      <c r="J12" s="57">
        <v>0.24</v>
      </c>
      <c r="K12" s="57" t="s">
        <v>1515</v>
      </c>
      <c r="L12" s="57">
        <v>0.27</v>
      </c>
      <c r="M12" s="57" t="s">
        <v>1526</v>
      </c>
      <c r="N12" s="57">
        <v>0.38</v>
      </c>
    </row>
    <row r="13" spans="1:14">
      <c r="A13" s="53" t="s">
        <v>1754</v>
      </c>
      <c r="B13" s="55">
        <v>71070.149999999994</v>
      </c>
      <c r="C13" s="55">
        <v>42425.66</v>
      </c>
      <c r="D13" s="55">
        <f t="shared" si="0"/>
        <v>28644.489999999991</v>
      </c>
      <c r="E13" s="55">
        <v>2903.1312499999999</v>
      </c>
      <c r="F13" s="55">
        <f t="shared" si="1"/>
        <v>1615.2306818181817</v>
      </c>
      <c r="G13" s="59">
        <v>44</v>
      </c>
      <c r="H13" s="57">
        <v>0.93</v>
      </c>
      <c r="I13" s="57">
        <v>0.75</v>
      </c>
      <c r="J13" s="57">
        <v>0.14000000000000001</v>
      </c>
      <c r="K13" s="57" t="s">
        <v>1516</v>
      </c>
      <c r="L13" s="57">
        <v>0.4</v>
      </c>
      <c r="M13" s="57" t="s">
        <v>1526</v>
      </c>
      <c r="N13" s="57">
        <v>0.44</v>
      </c>
    </row>
    <row r="17" spans="1:14">
      <c r="A17" s="53" t="s">
        <v>1755</v>
      </c>
      <c r="B17" s="55">
        <f>SUM(B2:B13)</f>
        <v>644205.75</v>
      </c>
      <c r="C17" s="55">
        <f>SUM(C2:C13)</f>
        <v>385329.57999999996</v>
      </c>
      <c r="D17" s="55">
        <f t="shared" si="0"/>
        <v>258876.17000000004</v>
      </c>
      <c r="E17" s="55">
        <f>SUM(E2:E13)</f>
        <v>26341.314892854971</v>
      </c>
      <c r="F17" s="55">
        <f>AVERAGE(F2:F13)</f>
        <v>1519.63445251793</v>
      </c>
      <c r="G17" s="59">
        <f>SUM(G2:G13)</f>
        <v>431</v>
      </c>
      <c r="H17" s="57">
        <f>AVERAGE(H2:H13)</f>
        <v>0.9291666666666667</v>
      </c>
      <c r="I17" s="57">
        <f>AVERAGE(I2:I13)</f>
        <v>0.70666666666666667</v>
      </c>
      <c r="J17" s="57">
        <f>AVERAGE(J2:J13)</f>
        <v>0.12666666666666668</v>
      </c>
      <c r="K17" s="57" t="s">
        <v>1516</v>
      </c>
      <c r="L17" s="57">
        <f>AVERAGE(L2, L4:L13)</f>
        <v>0.31090909090909091</v>
      </c>
      <c r="M17" s="57" t="s">
        <v>1526</v>
      </c>
      <c r="N17" s="57">
        <f>AVERAGE(N4:N9,N11:N13)</f>
        <v>0.38666666666666666</v>
      </c>
    </row>
    <row r="22" spans="1:14">
      <c r="H22" s="45" t="s">
        <v>1486</v>
      </c>
    </row>
  </sheetData>
  <mergeCells count="2">
    <mergeCell ref="K1:L1"/>
    <mergeCell ref="M1:N1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07"/>
  <sheetViews>
    <sheetView workbookViewId="0">
      <selection activeCell="B87" sqref="B87"/>
    </sheetView>
  </sheetViews>
  <sheetFormatPr baseColWidth="10" defaultRowHeight="15"/>
  <cols>
    <col min="1" max="1" width="19.5" customWidth="1"/>
    <col min="15" max="15" width="11.5" style="45"/>
  </cols>
  <sheetData>
    <row r="1" spans="1:15">
      <c r="A1" s="112" t="s">
        <v>1548</v>
      </c>
      <c r="B1" s="114" t="s">
        <v>1742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5"/>
    </row>
    <row r="2" spans="1:15" ht="16" thickBot="1">
      <c r="A2" s="113"/>
      <c r="B2" s="53" t="s">
        <v>2002</v>
      </c>
      <c r="C2" s="53" t="s">
        <v>2003</v>
      </c>
      <c r="D2" s="53" t="s">
        <v>2004</v>
      </c>
      <c r="E2" s="53" t="s">
        <v>2005</v>
      </c>
      <c r="F2" s="53" t="s">
        <v>2006</v>
      </c>
      <c r="G2" s="53" t="s">
        <v>2007</v>
      </c>
      <c r="H2" s="53" t="s">
        <v>2008</v>
      </c>
      <c r="I2" s="53" t="s">
        <v>2009</v>
      </c>
      <c r="J2" s="53" t="s">
        <v>2010</v>
      </c>
      <c r="K2" s="53" t="s">
        <v>2011</v>
      </c>
      <c r="L2" s="53" t="s">
        <v>2012</v>
      </c>
      <c r="M2" s="65" t="s">
        <v>2013</v>
      </c>
    </row>
    <row r="3" spans="1:15">
      <c r="A3" s="66" t="s">
        <v>1514</v>
      </c>
      <c r="B3" s="57">
        <v>0</v>
      </c>
      <c r="C3" s="57">
        <v>0</v>
      </c>
      <c r="D3" s="57">
        <v>9.5238095238095233E-2</v>
      </c>
      <c r="E3" s="57">
        <v>3.0303030303030304E-2</v>
      </c>
      <c r="F3" s="57">
        <v>6.25E-2</v>
      </c>
      <c r="G3" s="57">
        <v>3.7974683544303799E-2</v>
      </c>
      <c r="H3" s="57">
        <v>1.2658227848101266E-2</v>
      </c>
      <c r="I3" s="57">
        <v>2.0618556701030927E-2</v>
      </c>
      <c r="J3" s="57">
        <v>2.9411764705882353E-2</v>
      </c>
      <c r="K3" s="57">
        <v>4.1237113402061855E-2</v>
      </c>
      <c r="L3" s="57">
        <v>3.2608695652173912E-2</v>
      </c>
      <c r="M3" s="80">
        <v>4.2553191489361701E-2</v>
      </c>
      <c r="N3" s="75" t="s">
        <v>1514</v>
      </c>
      <c r="O3" s="82">
        <f>AVERAGE(B3:M3)</f>
        <v>3.3758613240336778E-2</v>
      </c>
    </row>
    <row r="4" spans="1:15">
      <c r="A4" s="66" t="s">
        <v>1515</v>
      </c>
      <c r="B4" s="57">
        <v>0.21428571428571427</v>
      </c>
      <c r="C4" s="57">
        <v>0.16216216216216217</v>
      </c>
      <c r="D4" s="57">
        <v>0.19047619047619047</v>
      </c>
      <c r="E4" s="57">
        <v>0.18181818181818182</v>
      </c>
      <c r="F4" s="57">
        <v>0.125</v>
      </c>
      <c r="G4" s="57">
        <v>0.15189873417721519</v>
      </c>
      <c r="H4" s="57">
        <v>0.22784810126582278</v>
      </c>
      <c r="I4" s="57">
        <v>0.12371134020618557</v>
      </c>
      <c r="J4" s="57">
        <v>0.20588235294117646</v>
      </c>
      <c r="K4" s="57">
        <v>0.21649484536082475</v>
      </c>
      <c r="L4" s="57">
        <v>0.27173913043478259</v>
      </c>
      <c r="M4" s="80">
        <v>0.18085106382978725</v>
      </c>
      <c r="N4" s="66" t="s">
        <v>1515</v>
      </c>
      <c r="O4" s="68">
        <f t="shared" ref="O4:O11" si="0">AVERAGE(B4:M4)</f>
        <v>0.18768065141317028</v>
      </c>
    </row>
    <row r="5" spans="1:15">
      <c r="A5" s="66" t="s">
        <v>1516</v>
      </c>
      <c r="B5" s="57">
        <v>0.21428571428571427</v>
      </c>
      <c r="C5" s="57">
        <v>0.24324324324324326</v>
      </c>
      <c r="D5" s="57">
        <v>0.19047619047619047</v>
      </c>
      <c r="E5" s="57">
        <v>0.2878787878787879</v>
      </c>
      <c r="F5" s="57">
        <v>0.3125</v>
      </c>
      <c r="G5" s="57">
        <v>0.31645569620253167</v>
      </c>
      <c r="H5" s="57">
        <v>0.30379746835443039</v>
      </c>
      <c r="I5" s="57">
        <v>0.27835051546391754</v>
      </c>
      <c r="J5" s="57">
        <v>0.29411764705882354</v>
      </c>
      <c r="K5" s="57">
        <v>0.28865979381443296</v>
      </c>
      <c r="L5" s="57">
        <v>0.20652173913043478</v>
      </c>
      <c r="M5" s="80">
        <v>0.40425531914893614</v>
      </c>
      <c r="N5" s="66" t="s">
        <v>1516</v>
      </c>
      <c r="O5" s="68">
        <f t="shared" si="0"/>
        <v>0.27837850958812022</v>
      </c>
    </row>
    <row r="6" spans="1:15">
      <c r="A6" s="66" t="s">
        <v>1517</v>
      </c>
      <c r="B6" s="57">
        <v>7.1428571428571425E-2</v>
      </c>
      <c r="C6" s="57">
        <v>0</v>
      </c>
      <c r="D6" s="57">
        <v>4.7619047619047616E-2</v>
      </c>
      <c r="E6" s="57">
        <v>1.5151515151515152E-2</v>
      </c>
      <c r="F6" s="57">
        <v>0</v>
      </c>
      <c r="G6" s="57">
        <v>0</v>
      </c>
      <c r="H6" s="57">
        <v>3.7974683544303799E-2</v>
      </c>
      <c r="I6" s="57">
        <v>0</v>
      </c>
      <c r="J6" s="57">
        <v>0</v>
      </c>
      <c r="K6" s="57">
        <v>1.0309278350515464E-2</v>
      </c>
      <c r="L6" s="57">
        <v>2.1739130434782608E-2</v>
      </c>
      <c r="M6" s="80">
        <v>0</v>
      </c>
      <c r="N6" s="66" t="s">
        <v>1517</v>
      </c>
      <c r="O6" s="68">
        <f t="shared" si="0"/>
        <v>1.7018518877394671E-2</v>
      </c>
    </row>
    <row r="7" spans="1:15">
      <c r="A7" s="66" t="s">
        <v>1518</v>
      </c>
      <c r="B7" s="57">
        <v>7.1428571428571425E-2</v>
      </c>
      <c r="C7" s="57">
        <v>5.4054054054054057E-2</v>
      </c>
      <c r="D7" s="57">
        <v>0.14285714285714285</v>
      </c>
      <c r="E7" s="57">
        <v>0.13636363636363635</v>
      </c>
      <c r="F7" s="57">
        <v>0.125</v>
      </c>
      <c r="G7" s="57">
        <v>0.12658227848101267</v>
      </c>
      <c r="H7" s="57">
        <v>0.12658227848101267</v>
      </c>
      <c r="I7" s="57">
        <v>0.15463917525773196</v>
      </c>
      <c r="J7" s="57">
        <v>0.11764705882352941</v>
      </c>
      <c r="K7" s="57">
        <v>0.12371134020618557</v>
      </c>
      <c r="L7" s="57">
        <v>9.7826086956521743E-2</v>
      </c>
      <c r="M7" s="80">
        <v>0.14893617021276595</v>
      </c>
      <c r="N7" s="66" t="s">
        <v>1518</v>
      </c>
      <c r="O7" s="68">
        <f t="shared" si="0"/>
        <v>0.11880231609351373</v>
      </c>
    </row>
    <row r="8" spans="1:15">
      <c r="A8" s="66" t="s">
        <v>1519</v>
      </c>
      <c r="B8" s="57">
        <v>0.14285714285714285</v>
      </c>
      <c r="C8" s="57">
        <v>0.10810810810810811</v>
      </c>
      <c r="D8" s="57">
        <v>4.7619047619047616E-2</v>
      </c>
      <c r="E8" s="57">
        <v>4.5454545454545456E-2</v>
      </c>
      <c r="F8" s="57">
        <v>3.125E-2</v>
      </c>
      <c r="G8" s="57">
        <v>2.5316455696202531E-2</v>
      </c>
      <c r="H8" s="57">
        <v>5.0632911392405063E-2</v>
      </c>
      <c r="I8" s="57">
        <v>4.1237113402061855E-2</v>
      </c>
      <c r="J8" s="57">
        <v>1.4705882352941176E-2</v>
      </c>
      <c r="K8" s="57">
        <v>1.0309278350515464E-2</v>
      </c>
      <c r="L8" s="57">
        <v>3.2608695652173912E-2</v>
      </c>
      <c r="M8" s="80">
        <v>2.1276595744680851E-2</v>
      </c>
      <c r="N8" s="66" t="s">
        <v>1519</v>
      </c>
      <c r="O8" s="68">
        <f t="shared" si="0"/>
        <v>4.7614648052485414E-2</v>
      </c>
    </row>
    <row r="9" spans="1:15">
      <c r="A9" s="66" t="s">
        <v>1520</v>
      </c>
      <c r="B9" s="57">
        <v>0.21428571428571427</v>
      </c>
      <c r="C9" s="57">
        <v>0.24324324324324326</v>
      </c>
      <c r="D9" s="57">
        <v>9.5238095238095233E-2</v>
      </c>
      <c r="E9" s="57">
        <v>0.16666666666666666</v>
      </c>
      <c r="F9" s="57">
        <v>0.234375</v>
      </c>
      <c r="G9" s="57">
        <v>0.16455696202531644</v>
      </c>
      <c r="H9" s="57">
        <v>0.11392405063291139</v>
      </c>
      <c r="I9" s="57">
        <v>0.15463917525773196</v>
      </c>
      <c r="J9" s="57">
        <v>0.23529411764705882</v>
      </c>
      <c r="K9" s="57">
        <v>0.14432989690721648</v>
      </c>
      <c r="L9" s="57">
        <v>0.17391304347826086</v>
      </c>
      <c r="M9" s="80">
        <v>8.5106382978723402E-2</v>
      </c>
      <c r="N9" s="66" t="s">
        <v>1520</v>
      </c>
      <c r="O9" s="68">
        <f t="shared" si="0"/>
        <v>0.16879769569674488</v>
      </c>
    </row>
    <row r="10" spans="1:15">
      <c r="A10" s="66" t="s">
        <v>1522</v>
      </c>
      <c r="B10" s="57">
        <v>7.1428571428571425E-2</v>
      </c>
      <c r="C10" s="57">
        <v>0</v>
      </c>
      <c r="D10" s="57">
        <v>0.14285714285714285</v>
      </c>
      <c r="E10" s="57">
        <v>1.5151515151515152E-2</v>
      </c>
      <c r="F10" s="57">
        <v>4.6875E-2</v>
      </c>
      <c r="G10" s="57">
        <v>5.0632911392405063E-2</v>
      </c>
      <c r="H10" s="57">
        <v>3.7974683544303799E-2</v>
      </c>
      <c r="I10" s="57">
        <v>5.1546391752577317E-2</v>
      </c>
      <c r="J10" s="57">
        <v>0</v>
      </c>
      <c r="K10" s="57">
        <v>1.0309278350515464E-2</v>
      </c>
      <c r="L10" s="57">
        <v>1.0869565217391304E-2</v>
      </c>
      <c r="M10" s="80">
        <v>1.0638297872340425E-2</v>
      </c>
      <c r="N10" s="66" t="s">
        <v>1522</v>
      </c>
      <c r="O10" s="68">
        <f t="shared" si="0"/>
        <v>3.7356946463896902E-2</v>
      </c>
    </row>
    <row r="11" spans="1:15" ht="16" thickBot="1">
      <c r="A11" s="67" t="s">
        <v>1574</v>
      </c>
      <c r="B11" s="69">
        <v>7.1428571428571425E-2</v>
      </c>
      <c r="C11" s="69">
        <v>0.1891891891891892</v>
      </c>
      <c r="D11" s="69">
        <v>4.7619047619047616E-2</v>
      </c>
      <c r="E11" s="69">
        <v>0.12121212121212122</v>
      </c>
      <c r="F11" s="69">
        <v>6.25E-2</v>
      </c>
      <c r="G11" s="69">
        <v>0.12658227848101267</v>
      </c>
      <c r="H11" s="69">
        <v>8.8607594936708861E-2</v>
      </c>
      <c r="I11" s="69">
        <v>0.17525773195876287</v>
      </c>
      <c r="J11" s="69">
        <v>0.10294117647058823</v>
      </c>
      <c r="K11" s="69">
        <v>0.15463917525773196</v>
      </c>
      <c r="L11" s="69">
        <v>0.15217391304347827</v>
      </c>
      <c r="M11" s="81">
        <v>0.10638297872340426</v>
      </c>
      <c r="N11" s="67" t="s">
        <v>1574</v>
      </c>
      <c r="O11" s="70">
        <f t="shared" si="0"/>
        <v>0.11654448152671805</v>
      </c>
    </row>
    <row r="12" spans="1:15" ht="16" thickBot="1"/>
    <row r="13" spans="1:15">
      <c r="A13" s="112" t="s">
        <v>1549</v>
      </c>
      <c r="B13" s="114" t="s">
        <v>1742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5"/>
    </row>
    <row r="14" spans="1:15" ht="16" thickBot="1">
      <c r="A14" s="113"/>
      <c r="B14" s="53" t="s">
        <v>2002</v>
      </c>
      <c r="C14" s="53" t="s">
        <v>2003</v>
      </c>
      <c r="D14" s="53" t="s">
        <v>2004</v>
      </c>
      <c r="E14" s="53" t="s">
        <v>2005</v>
      </c>
      <c r="F14" s="53" t="s">
        <v>2006</v>
      </c>
      <c r="G14" s="53" t="s">
        <v>2007</v>
      </c>
      <c r="H14" s="53" t="s">
        <v>2008</v>
      </c>
      <c r="I14" s="53" t="s">
        <v>2009</v>
      </c>
      <c r="J14" s="53" t="s">
        <v>2010</v>
      </c>
      <c r="K14" s="53" t="s">
        <v>2011</v>
      </c>
      <c r="L14" s="53" t="s">
        <v>2012</v>
      </c>
      <c r="M14" s="65" t="s">
        <v>2013</v>
      </c>
    </row>
    <row r="15" spans="1:15">
      <c r="A15" s="66" t="s">
        <v>1526</v>
      </c>
      <c r="B15" s="57">
        <v>0</v>
      </c>
      <c r="C15" s="57">
        <v>0.15</v>
      </c>
      <c r="D15" s="57">
        <v>0.40909090909090912</v>
      </c>
      <c r="E15" s="57">
        <v>0.34782608695652173</v>
      </c>
      <c r="F15" s="57">
        <v>0.33333333333333331</v>
      </c>
      <c r="G15" s="57">
        <v>0.44086021505376344</v>
      </c>
      <c r="H15" s="57">
        <v>0.30588235294117649</v>
      </c>
      <c r="I15" s="57">
        <v>0.38834951456310679</v>
      </c>
      <c r="J15" s="57">
        <v>0.20833333333333334</v>
      </c>
      <c r="K15" s="57">
        <v>0.47706422018348627</v>
      </c>
      <c r="L15" s="57">
        <v>0.37755102040816324</v>
      </c>
      <c r="M15" s="68">
        <v>0.44117647058823528</v>
      </c>
      <c r="N15" s="83" t="s">
        <v>1526</v>
      </c>
      <c r="O15" s="82">
        <f t="shared" ref="O15:O24" si="1">AVERAGE(B15:M15)</f>
        <v>0.32328895470433577</v>
      </c>
    </row>
    <row r="16" spans="1:15">
      <c r="A16" s="66" t="s">
        <v>1527</v>
      </c>
      <c r="B16" s="57">
        <v>0.375</v>
      </c>
      <c r="C16" s="57">
        <v>0.57499999999999996</v>
      </c>
      <c r="D16" s="57">
        <v>0.13636363636363635</v>
      </c>
      <c r="E16" s="57">
        <v>0.18840579710144928</v>
      </c>
      <c r="F16" s="57">
        <v>0.27777777777777779</v>
      </c>
      <c r="G16" s="57">
        <v>0.15053763440860216</v>
      </c>
      <c r="H16" s="57">
        <v>0.18823529411764706</v>
      </c>
      <c r="I16" s="57">
        <v>0.13592233009708737</v>
      </c>
      <c r="J16" s="57">
        <v>0.19444444444444445</v>
      </c>
      <c r="K16" s="57">
        <v>8.2568807339449546E-2</v>
      </c>
      <c r="L16" s="57">
        <v>0.23469387755102042</v>
      </c>
      <c r="M16" s="68">
        <v>7.8431372549019607E-2</v>
      </c>
      <c r="N16" s="84" t="s">
        <v>1527</v>
      </c>
      <c r="O16" s="68">
        <f t="shared" si="1"/>
        <v>0.21811508097917787</v>
      </c>
    </row>
    <row r="17" spans="1:15">
      <c r="A17" s="66" t="s">
        <v>1528</v>
      </c>
      <c r="B17" s="57">
        <v>0.1875</v>
      </c>
      <c r="C17" s="57">
        <v>7.4999999999999997E-2</v>
      </c>
      <c r="D17" s="57">
        <v>0.18181818181818182</v>
      </c>
      <c r="E17" s="57">
        <v>0.17391304347826086</v>
      </c>
      <c r="F17" s="57">
        <v>9.7222222222222224E-2</v>
      </c>
      <c r="G17" s="57">
        <v>8.6021505376344093E-2</v>
      </c>
      <c r="H17" s="57">
        <v>0.17647058823529413</v>
      </c>
      <c r="I17" s="57">
        <v>0.12621359223300971</v>
      </c>
      <c r="J17" s="57">
        <v>0.20833333333333334</v>
      </c>
      <c r="K17" s="57">
        <v>0.12844036697247707</v>
      </c>
      <c r="L17" s="57">
        <v>0.1326530612244898</v>
      </c>
      <c r="M17" s="68">
        <v>0.13725490196078433</v>
      </c>
      <c r="N17" s="84" t="s">
        <v>1528</v>
      </c>
      <c r="O17" s="68">
        <f t="shared" si="1"/>
        <v>0.1425700664045331</v>
      </c>
    </row>
    <row r="18" spans="1:15">
      <c r="A18" s="66" t="s">
        <v>1529</v>
      </c>
      <c r="B18" s="57">
        <v>0.1875</v>
      </c>
      <c r="C18" s="57">
        <v>7.4999999999999997E-2</v>
      </c>
      <c r="D18" s="57">
        <v>0.13636363636363635</v>
      </c>
      <c r="E18" s="57">
        <v>4.3478260869565216E-2</v>
      </c>
      <c r="F18" s="57">
        <v>0.1388888888888889</v>
      </c>
      <c r="G18" s="57">
        <v>0.12903225806451613</v>
      </c>
      <c r="H18" s="57">
        <v>9.4117647058823528E-2</v>
      </c>
      <c r="I18" s="57">
        <v>0.25242718446601942</v>
      </c>
      <c r="J18" s="57">
        <v>0.27777777777777779</v>
      </c>
      <c r="K18" s="57">
        <v>0.12844036697247707</v>
      </c>
      <c r="L18" s="57">
        <v>5.1020408163265307E-2</v>
      </c>
      <c r="M18" s="68">
        <v>0.12745098039215685</v>
      </c>
      <c r="N18" s="84" t="s">
        <v>1529</v>
      </c>
      <c r="O18" s="68">
        <f t="shared" si="1"/>
        <v>0.13679145075142721</v>
      </c>
    </row>
    <row r="19" spans="1:15">
      <c r="A19" s="66" t="s">
        <v>1530</v>
      </c>
      <c r="B19" s="57">
        <v>6.25E-2</v>
      </c>
      <c r="C19" s="57">
        <v>0.05</v>
      </c>
      <c r="D19" s="57">
        <v>4.5454545454545456E-2</v>
      </c>
      <c r="E19" s="57">
        <v>0.14492753623188406</v>
      </c>
      <c r="F19" s="57">
        <v>2.7777777777777776E-2</v>
      </c>
      <c r="G19" s="57">
        <v>3.2258064516129031E-2</v>
      </c>
      <c r="H19" s="57">
        <v>8.2352941176470587E-2</v>
      </c>
      <c r="I19" s="57">
        <v>9.7087378640776691E-3</v>
      </c>
      <c r="J19" s="57">
        <v>1.3888888888888888E-2</v>
      </c>
      <c r="K19" s="57">
        <v>6.4220183486238536E-2</v>
      </c>
      <c r="L19" s="57">
        <v>0.10204081632653061</v>
      </c>
      <c r="M19" s="68">
        <v>0.15686274509803921</v>
      </c>
      <c r="N19" s="84" t="s">
        <v>1530</v>
      </c>
      <c r="O19" s="68">
        <f t="shared" si="1"/>
        <v>6.5999353068381825E-2</v>
      </c>
    </row>
    <row r="20" spans="1:15">
      <c r="A20" s="66" t="s">
        <v>1531</v>
      </c>
      <c r="B20" s="57">
        <v>0</v>
      </c>
      <c r="C20" s="57">
        <v>0</v>
      </c>
      <c r="D20" s="57">
        <v>0</v>
      </c>
      <c r="E20" s="57">
        <v>2.8985507246376812E-2</v>
      </c>
      <c r="F20" s="57">
        <v>1.3888888888888888E-2</v>
      </c>
      <c r="G20" s="57">
        <v>0</v>
      </c>
      <c r="H20" s="57">
        <v>1.1764705882352941E-2</v>
      </c>
      <c r="I20" s="57">
        <v>9.7087378640776691E-3</v>
      </c>
      <c r="J20" s="57">
        <v>0</v>
      </c>
      <c r="K20" s="57">
        <v>0</v>
      </c>
      <c r="L20" s="57">
        <v>2.0408163265306121E-2</v>
      </c>
      <c r="M20" s="68">
        <v>0</v>
      </c>
      <c r="N20" s="84" t="s">
        <v>1531</v>
      </c>
      <c r="O20" s="68">
        <f t="shared" si="1"/>
        <v>7.0630002622502014E-3</v>
      </c>
    </row>
    <row r="21" spans="1:15">
      <c r="A21" s="66" t="s">
        <v>1532</v>
      </c>
      <c r="B21" s="57">
        <v>0</v>
      </c>
      <c r="C21" s="57">
        <v>0</v>
      </c>
      <c r="D21" s="57">
        <v>0</v>
      </c>
      <c r="E21" s="57">
        <v>1.4492753623188406E-2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68">
        <v>0</v>
      </c>
      <c r="N21" s="84" t="s">
        <v>1532</v>
      </c>
      <c r="O21" s="68">
        <f t="shared" si="1"/>
        <v>1.2077294685990338E-3</v>
      </c>
    </row>
    <row r="22" spans="1:15">
      <c r="A22" s="66" t="s">
        <v>1533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1.1764705882352941E-2</v>
      </c>
      <c r="I22" s="57">
        <v>9.7087378640776691E-3</v>
      </c>
      <c r="J22" s="57">
        <v>0</v>
      </c>
      <c r="K22" s="57">
        <v>0</v>
      </c>
      <c r="L22" s="57">
        <v>0</v>
      </c>
      <c r="M22" s="68">
        <v>0</v>
      </c>
      <c r="N22" s="84" t="s">
        <v>1533</v>
      </c>
      <c r="O22" s="68">
        <f t="shared" si="1"/>
        <v>1.7894536455358842E-3</v>
      </c>
    </row>
    <row r="23" spans="1:15">
      <c r="A23" s="66" t="s">
        <v>1534</v>
      </c>
      <c r="B23" s="57">
        <v>0.125</v>
      </c>
      <c r="C23" s="57">
        <v>0</v>
      </c>
      <c r="D23" s="57">
        <v>4.5454545454545456E-2</v>
      </c>
      <c r="E23" s="57">
        <v>1.4492753623188406E-2</v>
      </c>
      <c r="F23" s="57">
        <v>0</v>
      </c>
      <c r="G23" s="57">
        <v>1.0752688172043012E-2</v>
      </c>
      <c r="H23" s="57">
        <v>4.7058823529411764E-2</v>
      </c>
      <c r="I23" s="57">
        <v>0</v>
      </c>
      <c r="J23" s="57">
        <v>0</v>
      </c>
      <c r="K23" s="57">
        <v>9.1743119266055051E-3</v>
      </c>
      <c r="L23" s="57">
        <v>2.0408163265306121E-2</v>
      </c>
      <c r="M23" s="68">
        <v>0</v>
      </c>
      <c r="N23" s="84" t="s">
        <v>1534</v>
      </c>
      <c r="O23" s="68">
        <f t="shared" si="1"/>
        <v>2.2695107164258359E-2</v>
      </c>
    </row>
    <row r="24" spans="1:15" ht="16" thickBot="1">
      <c r="A24" s="67" t="s">
        <v>1521</v>
      </c>
      <c r="B24" s="69">
        <v>0.125</v>
      </c>
      <c r="C24" s="69">
        <v>7.4999999999999997E-2</v>
      </c>
      <c r="D24" s="69">
        <v>4.5454545454545456E-2</v>
      </c>
      <c r="E24" s="69">
        <v>4.3478260869565216E-2</v>
      </c>
      <c r="F24" s="69">
        <v>0.1111111111111111</v>
      </c>
      <c r="G24" s="69">
        <v>0.15053763440860216</v>
      </c>
      <c r="H24" s="69">
        <v>8.2352941176470587E-2</v>
      </c>
      <c r="I24" s="69">
        <v>5.8252427184466021E-2</v>
      </c>
      <c r="J24" s="69">
        <v>9.7222222222222224E-2</v>
      </c>
      <c r="K24" s="69">
        <v>0.11009174311926606</v>
      </c>
      <c r="L24" s="69">
        <v>6.1224489795918366E-2</v>
      </c>
      <c r="M24" s="70">
        <v>5.8823529411764705E-2</v>
      </c>
      <c r="N24" s="85" t="s">
        <v>1521</v>
      </c>
      <c r="O24" s="70">
        <f t="shared" si="1"/>
        <v>8.4879075396160977E-2</v>
      </c>
    </row>
    <row r="25" spans="1:15" ht="16" thickBot="1">
      <c r="A25" s="31" t="s">
        <v>1486</v>
      </c>
    </row>
    <row r="26" spans="1:15">
      <c r="A26" s="112" t="s">
        <v>2015</v>
      </c>
      <c r="B26" s="114" t="s">
        <v>1742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5"/>
    </row>
    <row r="27" spans="1:15" ht="16" thickBot="1">
      <c r="A27" s="113"/>
      <c r="B27" s="53" t="s">
        <v>2002</v>
      </c>
      <c r="C27" s="53" t="s">
        <v>2003</v>
      </c>
      <c r="D27" s="53" t="s">
        <v>2004</v>
      </c>
      <c r="E27" s="53" t="s">
        <v>2005</v>
      </c>
      <c r="F27" s="53" t="s">
        <v>2006</v>
      </c>
      <c r="G27" s="53" t="s">
        <v>2007</v>
      </c>
      <c r="H27" s="53" t="s">
        <v>2008</v>
      </c>
      <c r="I27" s="53" t="s">
        <v>2009</v>
      </c>
      <c r="J27" s="53" t="s">
        <v>2010</v>
      </c>
      <c r="K27" s="53" t="s">
        <v>2011</v>
      </c>
      <c r="L27" s="53" t="s">
        <v>2012</v>
      </c>
      <c r="M27" s="65" t="s">
        <v>2013</v>
      </c>
    </row>
    <row r="28" spans="1:15">
      <c r="A28" s="66" t="s">
        <v>2014</v>
      </c>
      <c r="B28" s="57">
        <v>0</v>
      </c>
      <c r="C28" s="57">
        <v>0.55555555555555558</v>
      </c>
      <c r="D28" s="57">
        <v>0.25</v>
      </c>
      <c r="E28" s="57">
        <v>0.52631578947368418</v>
      </c>
      <c r="F28" s="57">
        <v>0.65</v>
      </c>
      <c r="G28" s="57">
        <v>0.68</v>
      </c>
      <c r="H28" s="57">
        <v>0.45833333333333331</v>
      </c>
      <c r="I28" s="57">
        <v>0.59259259259259256</v>
      </c>
      <c r="J28" s="57">
        <v>0.45</v>
      </c>
      <c r="K28" s="57">
        <v>0.6785714285714286</v>
      </c>
      <c r="L28" s="57">
        <v>0.42105263157894735</v>
      </c>
      <c r="M28" s="80">
        <v>0.60526315789473684</v>
      </c>
      <c r="N28" s="75" t="s">
        <v>2014</v>
      </c>
      <c r="O28" s="82">
        <f>AVERAGE(B28:M28)</f>
        <v>0.48897370741669</v>
      </c>
    </row>
    <row r="29" spans="1:15">
      <c r="A29" s="66" t="s">
        <v>2016</v>
      </c>
      <c r="B29" s="57">
        <v>0.33333333333333331</v>
      </c>
      <c r="C29" s="57">
        <v>0.33333333333333331</v>
      </c>
      <c r="D29" s="57">
        <v>0.25</v>
      </c>
      <c r="E29" s="57">
        <v>0.31578947368421051</v>
      </c>
      <c r="F29" s="57">
        <v>0.35</v>
      </c>
      <c r="G29" s="57">
        <v>0.24</v>
      </c>
      <c r="H29" s="57">
        <v>0.45833333333333331</v>
      </c>
      <c r="I29" s="57">
        <v>0.40740740740740738</v>
      </c>
      <c r="J29" s="57">
        <v>0.4</v>
      </c>
      <c r="K29" s="57">
        <v>0.25</v>
      </c>
      <c r="L29" s="57">
        <v>0.36842105263157893</v>
      </c>
      <c r="M29" s="80">
        <v>0.31578947368421051</v>
      </c>
      <c r="N29" s="66" t="s">
        <v>2016</v>
      </c>
      <c r="O29" s="68">
        <f>AVERAGE(B29:M29)</f>
        <v>0.33520061728395056</v>
      </c>
    </row>
    <row r="30" spans="1:15" ht="16" thickBot="1">
      <c r="A30" s="67" t="s">
        <v>2017</v>
      </c>
      <c r="B30" s="69">
        <v>0.66666666666666663</v>
      </c>
      <c r="C30" s="69">
        <v>0.1111111111111111</v>
      </c>
      <c r="D30" s="69">
        <v>0.5</v>
      </c>
      <c r="E30" s="69">
        <v>0.15789473684210525</v>
      </c>
      <c r="F30" s="69">
        <v>0</v>
      </c>
      <c r="G30" s="69">
        <v>0.08</v>
      </c>
      <c r="H30" s="69">
        <v>8.3333333333333329E-2</v>
      </c>
      <c r="I30" s="69">
        <v>0</v>
      </c>
      <c r="J30" s="69">
        <v>0.15</v>
      </c>
      <c r="K30" s="69">
        <v>7.1428571428571425E-2</v>
      </c>
      <c r="L30" s="69">
        <v>0.21052631578947367</v>
      </c>
      <c r="M30" s="81">
        <v>7.8947368421052627E-2</v>
      </c>
      <c r="N30" s="67" t="s">
        <v>2017</v>
      </c>
      <c r="O30" s="70">
        <f>AVERAGE(B30:M30)</f>
        <v>0.17582567529935947</v>
      </c>
    </row>
    <row r="31" spans="1:15" ht="16" thickBot="1"/>
    <row r="32" spans="1:15">
      <c r="A32" s="112" t="s">
        <v>2018</v>
      </c>
      <c r="B32" s="114" t="s">
        <v>1742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5"/>
    </row>
    <row r="33" spans="1:15" ht="16" thickBot="1">
      <c r="A33" s="113"/>
      <c r="B33" s="53" t="s">
        <v>2002</v>
      </c>
      <c r="C33" s="53" t="s">
        <v>2003</v>
      </c>
      <c r="D33" s="53" t="s">
        <v>2004</v>
      </c>
      <c r="E33" s="53" t="s">
        <v>2005</v>
      </c>
      <c r="F33" s="53" t="s">
        <v>2006</v>
      </c>
      <c r="G33" s="53" t="s">
        <v>2007</v>
      </c>
      <c r="H33" s="53" t="s">
        <v>2008</v>
      </c>
      <c r="I33" s="53" t="s">
        <v>2009</v>
      </c>
      <c r="J33" s="53" t="s">
        <v>2010</v>
      </c>
      <c r="K33" s="53" t="s">
        <v>2011</v>
      </c>
      <c r="L33" s="53" t="s">
        <v>2012</v>
      </c>
      <c r="M33" s="65" t="s">
        <v>2013</v>
      </c>
    </row>
    <row r="34" spans="1:15">
      <c r="A34" s="71" t="s">
        <v>2020</v>
      </c>
      <c r="B34" s="57">
        <v>0</v>
      </c>
      <c r="C34" s="57">
        <v>0.1111111111111111</v>
      </c>
      <c r="D34" s="57">
        <v>0</v>
      </c>
      <c r="E34" s="57">
        <v>0</v>
      </c>
      <c r="F34" s="57">
        <v>0</v>
      </c>
      <c r="G34" s="57">
        <v>0.12</v>
      </c>
      <c r="H34" s="57">
        <v>8.3333333333333329E-2</v>
      </c>
      <c r="I34" s="57">
        <v>0.14814814814814814</v>
      </c>
      <c r="J34" s="57">
        <v>0.05</v>
      </c>
      <c r="K34" s="57">
        <v>0.10714285714285714</v>
      </c>
      <c r="L34" s="57">
        <v>0.10526315789473684</v>
      </c>
      <c r="M34" s="80">
        <v>7.8947368421052627E-2</v>
      </c>
      <c r="N34" s="86" t="s">
        <v>2020</v>
      </c>
      <c r="O34" s="82">
        <f t="shared" ref="O34:O45" si="2">AVERAGE(B34:M34)</f>
        <v>6.6995498004269932E-2</v>
      </c>
    </row>
    <row r="35" spans="1:15">
      <c r="A35" s="71" t="s">
        <v>2021</v>
      </c>
      <c r="B35" s="57">
        <v>0</v>
      </c>
      <c r="C35" s="57">
        <v>0</v>
      </c>
      <c r="D35" s="57">
        <v>0</v>
      </c>
      <c r="E35" s="57">
        <v>0.15789473684210525</v>
      </c>
      <c r="F35" s="57">
        <v>0.05</v>
      </c>
      <c r="G35" s="57">
        <v>0.12</v>
      </c>
      <c r="H35" s="57">
        <v>0.16666666666666666</v>
      </c>
      <c r="I35" s="57">
        <v>3.7037037037037035E-2</v>
      </c>
      <c r="J35" s="57">
        <v>0.15</v>
      </c>
      <c r="K35" s="57">
        <v>7.1428571428571425E-2</v>
      </c>
      <c r="L35" s="57">
        <v>0.10526315789473684</v>
      </c>
      <c r="M35" s="80">
        <v>7.8947368421052627E-2</v>
      </c>
      <c r="N35" s="71" t="s">
        <v>2021</v>
      </c>
      <c r="O35" s="68">
        <f t="shared" si="2"/>
        <v>7.8103128190847484E-2</v>
      </c>
    </row>
    <row r="36" spans="1:15">
      <c r="A36" s="71" t="s">
        <v>2022</v>
      </c>
      <c r="B36" s="57">
        <v>0.33333333333333331</v>
      </c>
      <c r="C36" s="57">
        <v>0.1111111111111111</v>
      </c>
      <c r="D36" s="57">
        <v>0</v>
      </c>
      <c r="E36" s="57">
        <v>0.21052631578947367</v>
      </c>
      <c r="F36" s="57">
        <v>0.1</v>
      </c>
      <c r="G36" s="57">
        <v>0.08</v>
      </c>
      <c r="H36" s="57">
        <v>4.1666666666666664E-2</v>
      </c>
      <c r="I36" s="57">
        <v>0.18518518518518517</v>
      </c>
      <c r="J36" s="57">
        <v>0</v>
      </c>
      <c r="K36" s="57">
        <v>0.10714285714285714</v>
      </c>
      <c r="L36" s="57">
        <v>0.10526315789473684</v>
      </c>
      <c r="M36" s="80">
        <v>0.10526315789473684</v>
      </c>
      <c r="N36" s="71" t="s">
        <v>2022</v>
      </c>
      <c r="O36" s="68">
        <f t="shared" si="2"/>
        <v>0.11495764875150838</v>
      </c>
    </row>
    <row r="37" spans="1:15">
      <c r="A37" s="71" t="s">
        <v>2023</v>
      </c>
      <c r="B37" s="57">
        <v>0.33333333333333331</v>
      </c>
      <c r="C37" s="57">
        <v>0.1111111111111111</v>
      </c>
      <c r="D37" s="57">
        <v>0.5</v>
      </c>
      <c r="E37" s="57">
        <v>0.31578947368421051</v>
      </c>
      <c r="F37" s="57">
        <v>0.2</v>
      </c>
      <c r="G37" s="57">
        <v>0.12</v>
      </c>
      <c r="H37" s="57">
        <v>0.20833333333333334</v>
      </c>
      <c r="I37" s="57">
        <v>0.18518518518518517</v>
      </c>
      <c r="J37" s="57">
        <v>0.15</v>
      </c>
      <c r="K37" s="57">
        <v>0.10714285714285714</v>
      </c>
      <c r="L37" s="57">
        <v>0.21052631578947367</v>
      </c>
      <c r="M37" s="80">
        <v>0.10526315789473684</v>
      </c>
      <c r="N37" s="71" t="s">
        <v>2023</v>
      </c>
      <c r="O37" s="68">
        <f t="shared" si="2"/>
        <v>0.21222373062285341</v>
      </c>
    </row>
    <row r="38" spans="1:15">
      <c r="A38" s="71" t="s">
        <v>2024</v>
      </c>
      <c r="B38" s="57">
        <v>0.33333333333333331</v>
      </c>
      <c r="C38" s="57">
        <v>0.22222222222222221</v>
      </c>
      <c r="D38" s="57">
        <v>0.25</v>
      </c>
      <c r="E38" s="57">
        <v>0.10526315789473684</v>
      </c>
      <c r="F38" s="57">
        <v>0.15</v>
      </c>
      <c r="G38" s="57">
        <v>0.16</v>
      </c>
      <c r="H38" s="57">
        <v>0.125</v>
      </c>
      <c r="I38" s="57">
        <v>0.25925925925925924</v>
      </c>
      <c r="J38" s="57">
        <v>0.2</v>
      </c>
      <c r="K38" s="57">
        <v>0.2857142857142857</v>
      </c>
      <c r="L38" s="57">
        <v>0.21052631578947367</v>
      </c>
      <c r="M38" s="80">
        <v>0.21052631578947367</v>
      </c>
      <c r="N38" s="71" t="s">
        <v>2024</v>
      </c>
      <c r="O38" s="68">
        <f t="shared" si="2"/>
        <v>0.20932040750023204</v>
      </c>
    </row>
    <row r="39" spans="1:15">
      <c r="A39" s="71" t="s">
        <v>2025</v>
      </c>
      <c r="B39" s="57">
        <v>0</v>
      </c>
      <c r="C39" s="57">
        <v>0.33333333333333331</v>
      </c>
      <c r="D39" s="57">
        <v>0.25</v>
      </c>
      <c r="E39" s="57">
        <v>0.21052631578947367</v>
      </c>
      <c r="F39" s="57">
        <v>0.4</v>
      </c>
      <c r="G39" s="57">
        <v>0.36</v>
      </c>
      <c r="H39" s="57">
        <v>0.33333333333333331</v>
      </c>
      <c r="I39" s="57">
        <v>0.14814814814814814</v>
      </c>
      <c r="J39" s="57">
        <v>0.4</v>
      </c>
      <c r="K39" s="57">
        <v>0.25</v>
      </c>
      <c r="L39" s="57">
        <v>0.26315789473684209</v>
      </c>
      <c r="M39" s="80">
        <v>0.34210526315789475</v>
      </c>
      <c r="N39" s="71" t="s">
        <v>2025</v>
      </c>
      <c r="O39" s="68">
        <f t="shared" si="2"/>
        <v>0.27421702404158538</v>
      </c>
    </row>
    <row r="40" spans="1:15">
      <c r="A40" s="71" t="s">
        <v>2026</v>
      </c>
      <c r="B40" s="57">
        <v>0</v>
      </c>
      <c r="C40" s="57">
        <v>0.1111111111111111</v>
      </c>
      <c r="D40" s="57">
        <v>0</v>
      </c>
      <c r="E40" s="57">
        <v>0</v>
      </c>
      <c r="F40" s="57">
        <v>0.05</v>
      </c>
      <c r="G40" s="57">
        <v>0</v>
      </c>
      <c r="H40" s="57">
        <v>4.1666666666666664E-2</v>
      </c>
      <c r="I40" s="73">
        <v>3.7037037037037035E-2</v>
      </c>
      <c r="J40" s="57">
        <v>0</v>
      </c>
      <c r="K40" s="57">
        <v>0</v>
      </c>
      <c r="L40" s="57">
        <v>0</v>
      </c>
      <c r="M40" s="80">
        <v>2.6315789473684209E-2</v>
      </c>
      <c r="N40" s="71" t="s">
        <v>2026</v>
      </c>
      <c r="O40" s="68">
        <f t="shared" si="2"/>
        <v>2.2177550357374915E-2</v>
      </c>
    </row>
    <row r="41" spans="1:15">
      <c r="A41" s="71" t="s">
        <v>2027</v>
      </c>
      <c r="B41" s="57">
        <v>0</v>
      </c>
      <c r="C41" s="57">
        <v>0</v>
      </c>
      <c r="D41" s="57">
        <v>0</v>
      </c>
      <c r="E41" s="57">
        <v>0</v>
      </c>
      <c r="F41" s="57">
        <v>0.05</v>
      </c>
      <c r="G41" s="57">
        <v>0.04</v>
      </c>
      <c r="H41" s="57">
        <v>0</v>
      </c>
      <c r="I41" s="73">
        <v>3.7037037037037035E-2</v>
      </c>
      <c r="J41" s="73">
        <v>0</v>
      </c>
      <c r="K41" s="57">
        <v>7.1428571428571425E-2</v>
      </c>
      <c r="L41" s="57">
        <v>0</v>
      </c>
      <c r="M41" s="80">
        <v>2.6315789473684209E-2</v>
      </c>
      <c r="N41" s="71" t="s">
        <v>2027</v>
      </c>
      <c r="O41" s="68">
        <f t="shared" si="2"/>
        <v>1.8731783161607722E-2</v>
      </c>
    </row>
    <row r="42" spans="1:15">
      <c r="A42" s="71" t="s">
        <v>2028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0</v>
      </c>
      <c r="H42" s="57">
        <v>0</v>
      </c>
      <c r="I42" s="57">
        <v>3.5714285714285712E-2</v>
      </c>
      <c r="J42" s="57">
        <v>0</v>
      </c>
      <c r="K42" s="57">
        <v>0</v>
      </c>
      <c r="L42" s="57">
        <v>0</v>
      </c>
      <c r="M42" s="80">
        <v>0</v>
      </c>
      <c r="N42" s="71" t="s">
        <v>2028</v>
      </c>
      <c r="O42" s="68">
        <f t="shared" si="2"/>
        <v>2.976190476190476E-3</v>
      </c>
    </row>
    <row r="43" spans="1:15">
      <c r="A43" s="71" t="s">
        <v>2029</v>
      </c>
      <c r="B43" s="57">
        <v>0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0.05</v>
      </c>
      <c r="K43" s="57">
        <v>0</v>
      </c>
      <c r="L43" s="57">
        <v>0</v>
      </c>
      <c r="M43" s="80">
        <v>0</v>
      </c>
      <c r="N43" s="71" t="s">
        <v>2029</v>
      </c>
      <c r="O43" s="68">
        <f t="shared" si="2"/>
        <v>4.1666666666666666E-3</v>
      </c>
    </row>
    <row r="44" spans="1:15">
      <c r="A44" s="71" t="s">
        <v>2030</v>
      </c>
      <c r="B44" s="73">
        <v>0</v>
      </c>
      <c r="C44" s="73">
        <v>0</v>
      </c>
      <c r="D44" s="73">
        <v>0</v>
      </c>
      <c r="E44" s="73">
        <v>0</v>
      </c>
      <c r="F44" s="73">
        <v>0</v>
      </c>
      <c r="G44" s="73">
        <v>0</v>
      </c>
      <c r="H44" s="73">
        <v>0</v>
      </c>
      <c r="I44" s="73">
        <v>0</v>
      </c>
      <c r="J44" s="73">
        <v>0</v>
      </c>
      <c r="K44" s="73">
        <v>0</v>
      </c>
      <c r="L44" s="57">
        <v>0</v>
      </c>
      <c r="M44" s="80">
        <v>0</v>
      </c>
      <c r="N44" s="71" t="s">
        <v>2030</v>
      </c>
      <c r="O44" s="68">
        <f t="shared" si="2"/>
        <v>0</v>
      </c>
    </row>
    <row r="45" spans="1:15" ht="16" thickBot="1">
      <c r="A45" s="72" t="s">
        <v>2031</v>
      </c>
      <c r="B45" s="74">
        <v>0</v>
      </c>
      <c r="C45" s="74">
        <v>0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69">
        <v>3.5714285714285712E-2</v>
      </c>
      <c r="J45" s="74">
        <v>0</v>
      </c>
      <c r="K45" s="74">
        <v>0</v>
      </c>
      <c r="L45" s="69">
        <v>0</v>
      </c>
      <c r="M45" s="81">
        <v>2.6315789473684209E-2</v>
      </c>
      <c r="N45" s="72" t="s">
        <v>2031</v>
      </c>
      <c r="O45" s="70">
        <f t="shared" si="2"/>
        <v>5.1691729323308268E-3</v>
      </c>
    </row>
    <row r="46" spans="1:15" ht="16" thickBot="1"/>
    <row r="47" spans="1:15">
      <c r="A47" s="117" t="s">
        <v>1515</v>
      </c>
      <c r="B47" s="114" t="s">
        <v>1742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5"/>
    </row>
    <row r="48" spans="1:15" ht="16" thickBot="1">
      <c r="A48" s="118"/>
      <c r="B48" s="53" t="s">
        <v>2002</v>
      </c>
      <c r="C48" s="53" t="s">
        <v>2003</v>
      </c>
      <c r="D48" s="53" t="s">
        <v>2004</v>
      </c>
      <c r="E48" s="53" t="s">
        <v>2005</v>
      </c>
      <c r="F48" s="53" t="s">
        <v>2006</v>
      </c>
      <c r="G48" s="53" t="s">
        <v>2007</v>
      </c>
      <c r="H48" s="53" t="s">
        <v>2008</v>
      </c>
      <c r="I48" s="53" t="s">
        <v>2009</v>
      </c>
      <c r="J48" s="53" t="s">
        <v>2010</v>
      </c>
      <c r="K48" s="53" t="s">
        <v>2011</v>
      </c>
      <c r="L48" s="53" t="s">
        <v>2012</v>
      </c>
      <c r="M48" s="65" t="s">
        <v>2013</v>
      </c>
    </row>
    <row r="49" spans="1:15">
      <c r="A49" s="66" t="s">
        <v>1768</v>
      </c>
      <c r="B49" s="57">
        <v>0</v>
      </c>
      <c r="C49" s="57">
        <v>0.66666666666666663</v>
      </c>
      <c r="D49" s="57">
        <v>0.25</v>
      </c>
      <c r="E49" s="57">
        <v>0</v>
      </c>
      <c r="F49" s="57">
        <v>0</v>
      </c>
      <c r="G49" s="57">
        <v>0</v>
      </c>
      <c r="H49" s="57">
        <v>5.5555555555555552E-2</v>
      </c>
      <c r="I49" s="57">
        <v>8.3333333333333329E-2</v>
      </c>
      <c r="J49" s="57">
        <v>0</v>
      </c>
      <c r="K49" s="57">
        <v>0.33333333333333331</v>
      </c>
      <c r="L49" s="57">
        <v>0.08</v>
      </c>
      <c r="M49" s="80">
        <v>0.11764705882352941</v>
      </c>
      <c r="N49" s="75" t="s">
        <v>1768</v>
      </c>
      <c r="O49" s="82">
        <f>AVERAGE(B49:M49)</f>
        <v>0.13221132897603485</v>
      </c>
    </row>
    <row r="50" spans="1:15">
      <c r="A50" s="66" t="s">
        <v>1769</v>
      </c>
      <c r="B50" s="57">
        <v>1</v>
      </c>
      <c r="C50" s="57">
        <v>0.33333333333333331</v>
      </c>
      <c r="D50" s="57">
        <v>0.75</v>
      </c>
      <c r="E50" s="57">
        <v>1</v>
      </c>
      <c r="F50" s="57">
        <v>1</v>
      </c>
      <c r="G50" s="57">
        <v>1</v>
      </c>
      <c r="H50" s="57">
        <v>0.94444444444444442</v>
      </c>
      <c r="I50" s="57">
        <v>0.91666666666666663</v>
      </c>
      <c r="J50" s="57">
        <v>1</v>
      </c>
      <c r="K50" s="57">
        <v>0.61904761904761907</v>
      </c>
      <c r="L50" s="57">
        <v>0.92</v>
      </c>
      <c r="M50" s="80">
        <v>0.82352941176470584</v>
      </c>
      <c r="N50" s="66" t="s">
        <v>1769</v>
      </c>
      <c r="O50" s="68">
        <f>AVERAGE(B50:M50)</f>
        <v>0.85891845627139751</v>
      </c>
    </row>
    <row r="51" spans="1:15" ht="16" thickBot="1">
      <c r="A51" s="67" t="s">
        <v>1770</v>
      </c>
      <c r="B51" s="69">
        <v>0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>
        <v>0</v>
      </c>
      <c r="I51" s="69">
        <v>0</v>
      </c>
      <c r="J51" s="69">
        <v>0</v>
      </c>
      <c r="K51" s="69">
        <v>4.7619047619047616E-2</v>
      </c>
      <c r="L51" s="69">
        <v>0</v>
      </c>
      <c r="M51" s="81">
        <v>5.8823529411764705E-2</v>
      </c>
      <c r="N51" s="67" t="s">
        <v>1770</v>
      </c>
      <c r="O51" s="70">
        <f>AVERAGE(B51:M51)</f>
        <v>8.8702147525676935E-3</v>
      </c>
    </row>
    <row r="52" spans="1:15" ht="16" thickBot="1"/>
    <row r="53" spans="1:15">
      <c r="A53" s="112" t="s">
        <v>1518</v>
      </c>
      <c r="B53" s="114" t="s">
        <v>1742</v>
      </c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5"/>
    </row>
    <row r="54" spans="1:15" ht="16" thickBot="1">
      <c r="A54" s="113"/>
      <c r="B54" s="53" t="s">
        <v>2002</v>
      </c>
      <c r="C54" s="53" t="s">
        <v>2003</v>
      </c>
      <c r="D54" s="53" t="s">
        <v>2004</v>
      </c>
      <c r="E54" s="53" t="s">
        <v>2005</v>
      </c>
      <c r="F54" s="53" t="s">
        <v>2006</v>
      </c>
      <c r="G54" s="53" t="s">
        <v>2007</v>
      </c>
      <c r="H54" s="53" t="s">
        <v>2008</v>
      </c>
      <c r="I54" s="53" t="s">
        <v>2009</v>
      </c>
      <c r="J54" s="53" t="s">
        <v>2010</v>
      </c>
      <c r="K54" s="53" t="s">
        <v>2011</v>
      </c>
      <c r="L54" s="53" t="s">
        <v>2012</v>
      </c>
      <c r="M54" s="65" t="s">
        <v>2013</v>
      </c>
    </row>
    <row r="55" spans="1:15">
      <c r="A55" s="66" t="s">
        <v>2019</v>
      </c>
      <c r="B55" s="57">
        <v>0</v>
      </c>
      <c r="C55" s="57">
        <v>0</v>
      </c>
      <c r="D55" s="57">
        <v>0.5</v>
      </c>
      <c r="E55" s="57">
        <v>0.22222222222222221</v>
      </c>
      <c r="F55" s="57">
        <v>0.2857142857142857</v>
      </c>
      <c r="G55" s="57">
        <v>0.4</v>
      </c>
      <c r="H55" s="57">
        <v>0.3</v>
      </c>
      <c r="I55" s="57">
        <v>6.6666666666666666E-2</v>
      </c>
      <c r="J55" s="57">
        <v>0.25</v>
      </c>
      <c r="K55" s="57">
        <v>0.16666666666666666</v>
      </c>
      <c r="L55" s="57">
        <v>0.33333333333333331</v>
      </c>
      <c r="M55" s="80">
        <v>0.21428571428571427</v>
      </c>
      <c r="N55" s="75" t="s">
        <v>2019</v>
      </c>
      <c r="O55" s="82">
        <f>AVERAGE(B55:M55)</f>
        <v>0.22824074074074074</v>
      </c>
    </row>
    <row r="56" spans="1:15" ht="16" thickBot="1">
      <c r="A56" s="67" t="s">
        <v>1798</v>
      </c>
      <c r="B56" s="69">
        <v>1</v>
      </c>
      <c r="C56" s="69">
        <v>1</v>
      </c>
      <c r="D56" s="69">
        <v>0.5</v>
      </c>
      <c r="E56" s="69">
        <v>0.77777777777777779</v>
      </c>
      <c r="F56" s="69">
        <v>0.8571428571428571</v>
      </c>
      <c r="G56" s="69">
        <v>0.6</v>
      </c>
      <c r="H56" s="69">
        <v>0.7</v>
      </c>
      <c r="I56" s="69">
        <v>0.93333333333333335</v>
      </c>
      <c r="J56" s="69">
        <v>0.75</v>
      </c>
      <c r="K56" s="69">
        <v>0.83333333333333337</v>
      </c>
      <c r="L56" s="69">
        <v>0.66666666666666663</v>
      </c>
      <c r="M56" s="81">
        <v>0.7857142857142857</v>
      </c>
      <c r="N56" s="67" t="s">
        <v>1798</v>
      </c>
      <c r="O56" s="70">
        <f>AVERAGE(B56:M56)</f>
        <v>0.78366402116402112</v>
      </c>
    </row>
    <row r="57" spans="1:15" ht="16" thickBot="1"/>
    <row r="58" spans="1:15">
      <c r="A58" s="112" t="s">
        <v>1520</v>
      </c>
      <c r="B58" s="114" t="s">
        <v>1742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5"/>
    </row>
    <row r="59" spans="1:15" ht="16" thickBot="1">
      <c r="A59" s="113"/>
      <c r="B59" s="53" t="s">
        <v>2002</v>
      </c>
      <c r="C59" s="53" t="s">
        <v>2003</v>
      </c>
      <c r="D59" s="53" t="s">
        <v>2004</v>
      </c>
      <c r="E59" s="53" t="s">
        <v>2005</v>
      </c>
      <c r="F59" s="53" t="s">
        <v>2006</v>
      </c>
      <c r="G59" s="53" t="s">
        <v>2007</v>
      </c>
      <c r="H59" s="53" t="s">
        <v>2008</v>
      </c>
      <c r="I59" s="53" t="s">
        <v>2009</v>
      </c>
      <c r="J59" s="53" t="s">
        <v>2010</v>
      </c>
      <c r="K59" s="53" t="s">
        <v>2011</v>
      </c>
      <c r="L59" s="53" t="s">
        <v>2012</v>
      </c>
      <c r="M59" s="65" t="s">
        <v>2013</v>
      </c>
    </row>
    <row r="60" spans="1:15">
      <c r="A60" s="76" t="s">
        <v>1960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7.1428571428571425E-2</v>
      </c>
      <c r="L60" s="77">
        <v>6.25E-2</v>
      </c>
      <c r="M60" s="87">
        <v>0</v>
      </c>
      <c r="N60" s="88" t="s">
        <v>1960</v>
      </c>
      <c r="O60" s="82">
        <f>AVERAGE(B60:M60)</f>
        <v>1.1160714285714286E-2</v>
      </c>
    </row>
    <row r="61" spans="1:15">
      <c r="A61" s="66" t="s">
        <v>1808</v>
      </c>
      <c r="B61" s="57">
        <v>0.33333333333333331</v>
      </c>
      <c r="C61" s="57">
        <v>0.44444444444444442</v>
      </c>
      <c r="D61" s="57">
        <v>0</v>
      </c>
      <c r="E61" s="57">
        <v>0.36363636363636365</v>
      </c>
      <c r="F61" s="57">
        <v>0.26666666666666666</v>
      </c>
      <c r="G61" s="57">
        <v>0.30769230769230771</v>
      </c>
      <c r="H61" s="57">
        <v>0.22222222222222221</v>
      </c>
      <c r="I61" s="57">
        <v>0.33333333333333331</v>
      </c>
      <c r="J61" s="57">
        <v>0.125</v>
      </c>
      <c r="K61" s="57">
        <v>0.21428571428571427</v>
      </c>
      <c r="L61" s="57">
        <v>0.25</v>
      </c>
      <c r="M61" s="80">
        <v>0.25</v>
      </c>
      <c r="N61" s="66" t="s">
        <v>1808</v>
      </c>
      <c r="O61" s="68">
        <f>AVERAGE(B61:M61)</f>
        <v>0.25921786546786546</v>
      </c>
    </row>
    <row r="62" spans="1:15">
      <c r="A62" s="66" t="s">
        <v>1809</v>
      </c>
      <c r="B62" s="57">
        <v>0</v>
      </c>
      <c r="C62" s="57">
        <v>0.33333333333333331</v>
      </c>
      <c r="D62" s="57">
        <v>0</v>
      </c>
      <c r="E62" s="57">
        <v>0.27272727272727271</v>
      </c>
      <c r="F62" s="57">
        <v>0.4</v>
      </c>
      <c r="G62" s="57">
        <v>0.38461538461538464</v>
      </c>
      <c r="H62" s="57">
        <v>0.66666666666666663</v>
      </c>
      <c r="I62" s="57">
        <v>0.26666666666666666</v>
      </c>
      <c r="J62" s="57">
        <v>0.4375</v>
      </c>
      <c r="K62" s="57">
        <v>7.1428571428571425E-2</v>
      </c>
      <c r="L62" s="57">
        <v>0.25</v>
      </c>
      <c r="M62" s="80">
        <v>0.375</v>
      </c>
      <c r="N62" s="66" t="s">
        <v>1809</v>
      </c>
      <c r="O62" s="68">
        <f>AVERAGE(B62:M62)</f>
        <v>0.28816149128649127</v>
      </c>
    </row>
    <row r="63" spans="1:15">
      <c r="A63" s="66" t="s">
        <v>1810</v>
      </c>
      <c r="B63" s="57">
        <v>0</v>
      </c>
      <c r="C63" s="57">
        <v>0.1111111111111111</v>
      </c>
      <c r="D63" s="57">
        <v>0.5</v>
      </c>
      <c r="E63" s="57">
        <v>9.0909090909090912E-2</v>
      </c>
      <c r="F63" s="57">
        <v>0.13333333333333333</v>
      </c>
      <c r="G63" s="57">
        <v>7.6923076923076927E-2</v>
      </c>
      <c r="H63" s="57">
        <v>0.1111111111111111</v>
      </c>
      <c r="I63" s="57">
        <v>0.2</v>
      </c>
      <c r="J63" s="57">
        <v>0</v>
      </c>
      <c r="K63" s="57">
        <v>0.14285714285714285</v>
      </c>
      <c r="L63" s="57">
        <v>6.25E-2</v>
      </c>
      <c r="M63" s="80">
        <v>0.25</v>
      </c>
      <c r="N63" s="66" t="s">
        <v>1810</v>
      </c>
      <c r="O63" s="68">
        <f>AVERAGE(B63:M63)</f>
        <v>0.13989540552040552</v>
      </c>
    </row>
    <row r="64" spans="1:15" ht="16" thickBot="1">
      <c r="A64" s="67" t="s">
        <v>1811</v>
      </c>
      <c r="B64" s="69">
        <v>0.66666666666666663</v>
      </c>
      <c r="C64" s="69">
        <v>0.1111111111111111</v>
      </c>
      <c r="D64" s="69">
        <v>0.5</v>
      </c>
      <c r="E64" s="69">
        <v>0.27272727272727271</v>
      </c>
      <c r="F64" s="69">
        <v>0.2</v>
      </c>
      <c r="G64" s="69">
        <v>0.23076923076923078</v>
      </c>
      <c r="H64" s="69">
        <v>0</v>
      </c>
      <c r="I64" s="69">
        <v>0.2</v>
      </c>
      <c r="J64" s="69">
        <v>0.4375</v>
      </c>
      <c r="K64" s="69">
        <v>0.5</v>
      </c>
      <c r="L64" s="69">
        <v>0.375</v>
      </c>
      <c r="M64" s="81">
        <v>0.125</v>
      </c>
      <c r="N64" s="67" t="s">
        <v>1811</v>
      </c>
      <c r="O64" s="70">
        <f>AVERAGE(B64:M64)</f>
        <v>0.30156452343952345</v>
      </c>
    </row>
    <row r="66" spans="1:15">
      <c r="A66" s="116" t="s">
        <v>1574</v>
      </c>
      <c r="B66" s="116" t="s">
        <v>1742</v>
      </c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</row>
    <row r="67" spans="1:15" ht="16" thickBot="1">
      <c r="A67" s="116"/>
      <c r="B67" s="53" t="s">
        <v>2002</v>
      </c>
      <c r="C67" s="53" t="s">
        <v>2003</v>
      </c>
      <c r="D67" s="53" t="s">
        <v>2004</v>
      </c>
      <c r="E67" s="53" t="s">
        <v>2005</v>
      </c>
      <c r="F67" s="53" t="s">
        <v>2006</v>
      </c>
      <c r="G67" s="53" t="s">
        <v>2007</v>
      </c>
      <c r="H67" s="53" t="s">
        <v>2008</v>
      </c>
      <c r="I67" s="53" t="s">
        <v>2009</v>
      </c>
      <c r="J67" s="53" t="s">
        <v>2010</v>
      </c>
      <c r="K67" s="53" t="s">
        <v>2011</v>
      </c>
      <c r="L67" s="53" t="s">
        <v>2012</v>
      </c>
      <c r="M67" s="53" t="s">
        <v>2013</v>
      </c>
    </row>
    <row r="68" spans="1:15">
      <c r="A68" s="53" t="s">
        <v>1812</v>
      </c>
      <c r="B68" s="57">
        <v>1</v>
      </c>
      <c r="C68" s="57">
        <v>0.56999999999999995</v>
      </c>
      <c r="D68" s="57">
        <v>0</v>
      </c>
      <c r="E68" s="57">
        <v>0.25</v>
      </c>
      <c r="F68" s="57">
        <v>0</v>
      </c>
      <c r="G68" s="57">
        <v>0.1</v>
      </c>
      <c r="H68" s="57">
        <v>0.2857142857142857</v>
      </c>
      <c r="I68" s="57">
        <v>0</v>
      </c>
      <c r="J68" s="57">
        <v>0.2857142857142857</v>
      </c>
      <c r="K68" s="57">
        <v>0.26666666666666666</v>
      </c>
      <c r="L68" s="57">
        <v>7.1428571428571425E-2</v>
      </c>
      <c r="M68" s="80">
        <v>9.0909090909090912E-2</v>
      </c>
      <c r="N68" s="75" t="s">
        <v>1812</v>
      </c>
      <c r="O68" s="82">
        <f t="shared" ref="O68:O77" si="3">AVERAGE(B68:M68)</f>
        <v>0.24336940836940835</v>
      </c>
    </row>
    <row r="69" spans="1:15">
      <c r="A69" s="53" t="s">
        <v>1813</v>
      </c>
      <c r="B69" s="57">
        <v>0</v>
      </c>
      <c r="C69" s="57">
        <v>0.14000000000000001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0.11764705882352941</v>
      </c>
      <c r="J69" s="57">
        <v>0</v>
      </c>
      <c r="K69" s="57">
        <v>0.13333333333333333</v>
      </c>
      <c r="L69" s="57">
        <v>7.1428571428571425E-2</v>
      </c>
      <c r="M69" s="80">
        <v>0</v>
      </c>
      <c r="N69" s="66" t="s">
        <v>1813</v>
      </c>
      <c r="O69" s="68">
        <f t="shared" si="3"/>
        <v>3.8534080298786182E-2</v>
      </c>
    </row>
    <row r="70" spans="1:15">
      <c r="A70" s="53" t="s">
        <v>1814</v>
      </c>
      <c r="B70" s="57">
        <v>0</v>
      </c>
      <c r="C70" s="57">
        <v>0</v>
      </c>
      <c r="D70" s="57">
        <v>0</v>
      </c>
      <c r="E70" s="57">
        <v>0</v>
      </c>
      <c r="F70" s="57">
        <v>0.25</v>
      </c>
      <c r="G70" s="57">
        <v>0</v>
      </c>
      <c r="H70" s="57">
        <v>0</v>
      </c>
      <c r="I70" s="57">
        <v>0.17647058823529413</v>
      </c>
      <c r="J70" s="57">
        <v>0.14285714285714285</v>
      </c>
      <c r="K70" s="57">
        <v>0</v>
      </c>
      <c r="L70" s="57">
        <v>0</v>
      </c>
      <c r="M70" s="80">
        <v>9.0909090909090912E-2</v>
      </c>
      <c r="N70" s="66" t="s">
        <v>1814</v>
      </c>
      <c r="O70" s="68">
        <f t="shared" si="3"/>
        <v>5.5019735166793989E-2</v>
      </c>
    </row>
    <row r="71" spans="1:15">
      <c r="A71" s="53" t="s">
        <v>1716</v>
      </c>
      <c r="B71" s="57">
        <v>0</v>
      </c>
      <c r="C71" s="57">
        <v>0.14000000000000001</v>
      </c>
      <c r="D71" s="57">
        <v>0</v>
      </c>
      <c r="E71" s="57">
        <v>0</v>
      </c>
      <c r="F71" s="57">
        <v>0</v>
      </c>
      <c r="G71" s="57">
        <v>0</v>
      </c>
      <c r="H71" s="57">
        <v>0.14285714285714285</v>
      </c>
      <c r="I71" s="57">
        <v>5.8823529411764705E-2</v>
      </c>
      <c r="J71" s="57">
        <v>0</v>
      </c>
      <c r="K71" s="57">
        <v>0</v>
      </c>
      <c r="L71" s="57">
        <v>0</v>
      </c>
      <c r="M71" s="80">
        <v>0</v>
      </c>
      <c r="N71" s="66" t="s">
        <v>1716</v>
      </c>
      <c r="O71" s="68">
        <f t="shared" si="3"/>
        <v>2.8473389355742298E-2</v>
      </c>
    </row>
    <row r="72" spans="1:15">
      <c r="A72" s="53" t="s">
        <v>1815</v>
      </c>
      <c r="B72" s="57">
        <v>0</v>
      </c>
      <c r="C72" s="57">
        <v>0</v>
      </c>
      <c r="D72" s="57">
        <v>0</v>
      </c>
      <c r="E72" s="57">
        <v>0.125</v>
      </c>
      <c r="F72" s="57">
        <v>0.5</v>
      </c>
      <c r="G72" s="57">
        <v>0.6</v>
      </c>
      <c r="H72" s="57">
        <v>0.14285714285714285</v>
      </c>
      <c r="I72" s="57">
        <v>0.23529411764705882</v>
      </c>
      <c r="J72" s="57">
        <v>0.2857142857142857</v>
      </c>
      <c r="K72" s="57">
        <v>0.26666666666666666</v>
      </c>
      <c r="L72" s="57">
        <v>0.42857142857142855</v>
      </c>
      <c r="M72" s="80">
        <v>0.45454545454545453</v>
      </c>
      <c r="N72" s="66" t="s">
        <v>1815</v>
      </c>
      <c r="O72" s="68">
        <f t="shared" si="3"/>
        <v>0.25322075800016974</v>
      </c>
    </row>
    <row r="73" spans="1:15">
      <c r="A73" s="53" t="s">
        <v>1820</v>
      </c>
      <c r="B73" s="57">
        <v>0</v>
      </c>
      <c r="C73" s="57">
        <v>0.14000000000000001</v>
      </c>
      <c r="D73" s="57">
        <v>1</v>
      </c>
      <c r="E73" s="57">
        <v>0.375</v>
      </c>
      <c r="F73" s="57">
        <v>0.25</v>
      </c>
      <c r="G73" s="57">
        <v>0.1</v>
      </c>
      <c r="H73" s="57">
        <v>0.14000000000000001</v>
      </c>
      <c r="I73" s="57">
        <v>0.11764705882352941</v>
      </c>
      <c r="J73" s="57">
        <v>0.14000000000000001</v>
      </c>
      <c r="K73" s="57">
        <v>0.13333333333333333</v>
      </c>
      <c r="L73" s="57">
        <v>7.1428571428571425E-2</v>
      </c>
      <c r="M73" s="80">
        <v>9.0909090909090912E-2</v>
      </c>
      <c r="N73" s="66" t="s">
        <v>1820</v>
      </c>
      <c r="O73" s="68">
        <f t="shared" si="3"/>
        <v>0.21319317120787715</v>
      </c>
    </row>
    <row r="74" spans="1:15">
      <c r="A74" s="53" t="s">
        <v>1961</v>
      </c>
      <c r="B74" s="57">
        <v>0</v>
      </c>
      <c r="C74" s="57">
        <v>0</v>
      </c>
      <c r="D74" s="57">
        <v>0</v>
      </c>
      <c r="E74" s="57">
        <v>0.125</v>
      </c>
      <c r="F74" s="57">
        <v>0</v>
      </c>
      <c r="G74" s="57">
        <v>0</v>
      </c>
      <c r="H74" s="57">
        <v>0</v>
      </c>
      <c r="I74" s="57">
        <v>0.17647058823529413</v>
      </c>
      <c r="J74" s="57">
        <v>0</v>
      </c>
      <c r="K74" s="57">
        <v>6.6666666666666666E-2</v>
      </c>
      <c r="L74" s="57">
        <v>7.1428571428571425E-2</v>
      </c>
      <c r="M74" s="80">
        <v>0</v>
      </c>
      <c r="N74" s="66" t="s">
        <v>1961</v>
      </c>
      <c r="O74" s="68">
        <f t="shared" si="3"/>
        <v>3.6630485527544353E-2</v>
      </c>
    </row>
    <row r="75" spans="1:15">
      <c r="A75" s="53" t="s">
        <v>1859</v>
      </c>
      <c r="B75" s="57">
        <v>0</v>
      </c>
      <c r="C75" s="57">
        <v>0</v>
      </c>
      <c r="D75" s="57">
        <v>0</v>
      </c>
      <c r="E75" s="57">
        <v>0.125</v>
      </c>
      <c r="F75" s="57">
        <v>0</v>
      </c>
      <c r="G75" s="57">
        <v>0.2</v>
      </c>
      <c r="H75" s="57">
        <v>0.28999999999999998</v>
      </c>
      <c r="I75" s="57">
        <v>0</v>
      </c>
      <c r="J75" s="57">
        <v>0</v>
      </c>
      <c r="K75" s="57">
        <v>0.13333333333333333</v>
      </c>
      <c r="L75" s="57">
        <v>0.21428571428571427</v>
      </c>
      <c r="M75" s="80">
        <v>9.0909090909090912E-2</v>
      </c>
      <c r="N75" s="66" t="s">
        <v>1859</v>
      </c>
      <c r="O75" s="68">
        <f t="shared" si="3"/>
        <v>8.7794011544011549E-2</v>
      </c>
    </row>
    <row r="76" spans="1:15">
      <c r="A76" s="53" t="s">
        <v>1920</v>
      </c>
      <c r="B76" s="57">
        <v>0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0.16</v>
      </c>
      <c r="J76" s="57">
        <v>0</v>
      </c>
      <c r="K76" s="57">
        <v>0</v>
      </c>
      <c r="L76" s="57">
        <v>0.14285714285714285</v>
      </c>
      <c r="M76" s="80">
        <v>9.0909090909090912E-2</v>
      </c>
      <c r="N76" s="66" t="s">
        <v>1920</v>
      </c>
      <c r="O76" s="68">
        <f t="shared" si="3"/>
        <v>3.2813852813852816E-2</v>
      </c>
    </row>
    <row r="77" spans="1:15" ht="16" thickBot="1">
      <c r="A77" s="53" t="s">
        <v>1922</v>
      </c>
      <c r="B77" s="57">
        <v>0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>
        <v>0</v>
      </c>
      <c r="I77" s="57">
        <v>0</v>
      </c>
      <c r="J77" s="57">
        <v>0.14000000000000001</v>
      </c>
      <c r="K77" s="57">
        <v>0</v>
      </c>
      <c r="L77" s="57">
        <v>0</v>
      </c>
      <c r="M77" s="80">
        <v>0</v>
      </c>
      <c r="N77" s="67" t="s">
        <v>1922</v>
      </c>
      <c r="O77" s="70">
        <f t="shared" si="3"/>
        <v>1.1666666666666667E-2</v>
      </c>
    </row>
    <row r="78" spans="1:15" ht="16" thickBot="1"/>
    <row r="79" spans="1:15">
      <c r="A79" s="75"/>
      <c r="B79" s="114" t="s">
        <v>1742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5"/>
    </row>
    <row r="80" spans="1:15" ht="16" thickBot="1">
      <c r="A80" s="66"/>
      <c r="B80" s="99" t="s">
        <v>2002</v>
      </c>
      <c r="C80" s="99" t="s">
        <v>2003</v>
      </c>
      <c r="D80" s="99" t="s">
        <v>2004</v>
      </c>
      <c r="E80" s="99" t="s">
        <v>2005</v>
      </c>
      <c r="F80" s="99" t="s">
        <v>2006</v>
      </c>
      <c r="G80" s="99" t="s">
        <v>2007</v>
      </c>
      <c r="H80" s="99" t="s">
        <v>2008</v>
      </c>
      <c r="I80" s="99" t="s">
        <v>2009</v>
      </c>
      <c r="J80" s="99" t="s">
        <v>2010</v>
      </c>
      <c r="K80" s="99" t="s">
        <v>2011</v>
      </c>
      <c r="L80" s="99" t="s">
        <v>2012</v>
      </c>
      <c r="M80" s="65" t="s">
        <v>2013</v>
      </c>
    </row>
    <row r="81" spans="1:15" ht="16" thickBot="1">
      <c r="A81" s="67" t="s">
        <v>1521</v>
      </c>
      <c r="B81" s="69">
        <v>0.13</v>
      </c>
      <c r="C81" s="69">
        <v>0.08</v>
      </c>
      <c r="D81" s="69">
        <v>0.09</v>
      </c>
      <c r="E81" s="69">
        <v>0.04</v>
      </c>
      <c r="F81" s="69">
        <v>0.11</v>
      </c>
      <c r="G81" s="69">
        <v>0.15</v>
      </c>
      <c r="H81" s="69">
        <v>0.08</v>
      </c>
      <c r="I81" s="69">
        <v>0.06</v>
      </c>
      <c r="J81" s="69">
        <v>0.1</v>
      </c>
      <c r="K81" s="69">
        <v>0.11</v>
      </c>
      <c r="L81" s="69">
        <v>0.06</v>
      </c>
      <c r="M81" s="81">
        <v>0.06</v>
      </c>
      <c r="N81" s="89" t="s">
        <v>1521</v>
      </c>
      <c r="O81" s="90">
        <f>AVERAGE(B81:M81)</f>
        <v>8.9166666666666672E-2</v>
      </c>
    </row>
    <row r="82" spans="1:15" ht="16" thickBot="1">
      <c r="A82" s="41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1"/>
      <c r="O82" s="48"/>
    </row>
    <row r="83" spans="1:15">
      <c r="A83" s="75"/>
      <c r="B83" s="110" t="s">
        <v>1742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1"/>
      <c r="N83" s="41"/>
      <c r="O83" s="48"/>
    </row>
    <row r="84" spans="1:15" ht="16" thickBot="1">
      <c r="A84" s="66" t="s">
        <v>2429</v>
      </c>
      <c r="B84" s="56" t="s">
        <v>2002</v>
      </c>
      <c r="C84" s="56" t="s">
        <v>2003</v>
      </c>
      <c r="D84" s="56" t="s">
        <v>2004</v>
      </c>
      <c r="E84" s="56" t="s">
        <v>2005</v>
      </c>
      <c r="F84" s="56" t="s">
        <v>2006</v>
      </c>
      <c r="G84" s="56" t="s">
        <v>2007</v>
      </c>
      <c r="H84" s="56" t="s">
        <v>2008</v>
      </c>
      <c r="I84" s="56" t="s">
        <v>2009</v>
      </c>
      <c r="J84" s="56" t="s">
        <v>2010</v>
      </c>
      <c r="K84" s="56" t="s">
        <v>2011</v>
      </c>
      <c r="L84" s="56" t="s">
        <v>2012</v>
      </c>
      <c r="M84" s="65" t="s">
        <v>2013</v>
      </c>
      <c r="N84" s="41"/>
      <c r="O84" s="48"/>
    </row>
    <row r="85" spans="1:15">
      <c r="A85" s="66" t="s">
        <v>2430</v>
      </c>
      <c r="B85" s="57">
        <v>0</v>
      </c>
      <c r="C85" s="57">
        <v>1</v>
      </c>
      <c r="D85" s="57">
        <v>1</v>
      </c>
      <c r="E85" s="57">
        <v>1</v>
      </c>
      <c r="F85" s="57">
        <v>1</v>
      </c>
      <c r="G85" s="57">
        <v>1</v>
      </c>
      <c r="H85" s="57">
        <v>1</v>
      </c>
      <c r="I85" s="57">
        <v>1</v>
      </c>
      <c r="J85" s="57">
        <v>1</v>
      </c>
      <c r="K85" s="57">
        <v>0.88888888888888884</v>
      </c>
      <c r="L85" s="57">
        <v>0.7</v>
      </c>
      <c r="M85" s="68">
        <v>1</v>
      </c>
      <c r="N85" s="75" t="s">
        <v>2430</v>
      </c>
      <c r="O85" s="82">
        <f>AVERAGE(B85:M85)</f>
        <v>0.88240740740740742</v>
      </c>
    </row>
    <row r="86" spans="1:15" ht="16" thickBot="1">
      <c r="A86" s="67" t="s">
        <v>2431</v>
      </c>
      <c r="B86" s="69">
        <v>0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0.1111111111111111</v>
      </c>
      <c r="L86" s="69">
        <v>0.3</v>
      </c>
      <c r="M86" s="70">
        <v>0</v>
      </c>
      <c r="N86" s="67" t="s">
        <v>2431</v>
      </c>
      <c r="O86" s="70">
        <f>AVERAGE(B86:M86)</f>
        <v>3.425925925925926E-2</v>
      </c>
    </row>
    <row r="87" spans="1:15">
      <c r="A87" s="41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</row>
    <row r="88" spans="1:15">
      <c r="A88" s="41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</row>
    <row r="89" spans="1:15">
      <c r="A89" s="41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</row>
    <row r="90" spans="1:15">
      <c r="A90" s="41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</row>
    <row r="91" spans="1:15">
      <c r="A91" s="41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</row>
    <row r="92" spans="1:15">
      <c r="A92" s="41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</row>
    <row r="93" spans="1:15">
      <c r="A93" s="41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</row>
    <row r="94" spans="1:15">
      <c r="A94" s="41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</row>
    <row r="95" spans="1:15">
      <c r="A95" s="41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</row>
    <row r="96" spans="1:15">
      <c r="A96" s="41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</row>
    <row r="97" spans="1:13">
      <c r="A97" s="41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</row>
    <row r="98" spans="1:13">
      <c r="A98" s="41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</row>
    <row r="99" spans="1:13">
      <c r="A99" s="41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</row>
    <row r="100" spans="1:13">
      <c r="A100" s="41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</row>
    <row r="101" spans="1:13">
      <c r="A101" s="41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</row>
    <row r="102" spans="1:13">
      <c r="A102" s="41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spans="1:13">
      <c r="A103" s="41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</row>
    <row r="104" spans="1:13">
      <c r="A104" s="41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</row>
    <row r="105" spans="1:13">
      <c r="A105" s="41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</row>
    <row r="106" spans="1:13">
      <c r="A106" s="41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</row>
    <row r="107" spans="1:13">
      <c r="A107" s="41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</row>
  </sheetData>
  <mergeCells count="18">
    <mergeCell ref="B1:M1"/>
    <mergeCell ref="A1:A2"/>
    <mergeCell ref="A13:A14"/>
    <mergeCell ref="B13:M13"/>
    <mergeCell ref="A26:A27"/>
    <mergeCell ref="B26:M26"/>
    <mergeCell ref="B83:M83"/>
    <mergeCell ref="A32:A33"/>
    <mergeCell ref="B32:M32"/>
    <mergeCell ref="A66:A67"/>
    <mergeCell ref="B66:M66"/>
    <mergeCell ref="B79:M79"/>
    <mergeCell ref="B47:M47"/>
    <mergeCell ref="B53:M53"/>
    <mergeCell ref="A53:A54"/>
    <mergeCell ref="A47:A48"/>
    <mergeCell ref="A58:A59"/>
    <mergeCell ref="B58:M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Hoja1</vt:lpstr>
      <vt:lpstr>Estadisticas Ene</vt:lpstr>
      <vt:lpstr>Estadisticas Feb</vt:lpstr>
      <vt:lpstr>Estadisticas Mar</vt:lpstr>
      <vt:lpstr>Estadisticas Abr</vt:lpstr>
      <vt:lpstr>Estadisticas May</vt:lpstr>
      <vt:lpstr>Estadisticas Jun</vt:lpstr>
      <vt:lpstr>Estadísticas Jul</vt:lpstr>
      <vt:lpstr>Estadísticas Ago</vt:lpstr>
      <vt:lpstr>Estadísticas Sep</vt:lpstr>
      <vt:lpstr>Estadísticas Oct</vt:lpstr>
      <vt:lpstr>Estadísticas Nov</vt:lpstr>
      <vt:lpstr>Estadísticas Dic</vt:lpstr>
      <vt:lpstr>Estadísticas finales 2021</vt:lpstr>
      <vt:lpstr>Estad especif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ALONSO!</dc:creator>
  <cp:lastModifiedBy>PEREDO ALONSO, BENJAMIN</cp:lastModifiedBy>
  <dcterms:created xsi:type="dcterms:W3CDTF">2021-01-06T17:25:42Z</dcterms:created>
  <dcterms:modified xsi:type="dcterms:W3CDTF">2026-05-22T18:07:01Z</dcterms:modified>
</cp:coreProperties>
</file>